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8010"/>
  </bookViews>
  <sheets>
    <sheet name="Hoja2" sheetId="1" r:id="rId1"/>
    <sheet name="Hoja5" sheetId="4" r:id="rId2"/>
  </sheets>
  <definedNames>
    <definedName name="__Anonymous_Sheet_DB__1_1">"NA()"</definedName>
    <definedName name="__Anonymous_Sheet_DB__1_10">"NA()"</definedName>
    <definedName name="__Anonymous_Sheet_DB__1_11">"NA()"</definedName>
    <definedName name="__Anonymous_Sheet_DB__1_12">"NA()"</definedName>
    <definedName name="__Anonymous_Sheet_DB__1_13">"NA()"</definedName>
    <definedName name="__Anonymous_Sheet_DB__1_14">"NA()"</definedName>
    <definedName name="__Anonymous_Sheet_DB__1_15">"NA()"</definedName>
    <definedName name="__Anonymous_Sheet_DB__1_16">"NA()"</definedName>
    <definedName name="__Anonymous_Sheet_DB__1_17">"NA()"</definedName>
    <definedName name="__Anonymous_Sheet_DB__1_18">"NA()"</definedName>
    <definedName name="__Anonymous_Sheet_DB__1_19">"NA()"</definedName>
    <definedName name="__Anonymous_Sheet_DB__1_2">"NA()"</definedName>
    <definedName name="__Anonymous_Sheet_DB__1_20">"NA()"</definedName>
    <definedName name="__Anonymous_Sheet_DB__1_21">"NA()"</definedName>
    <definedName name="__Anonymous_Sheet_DB__1_22">"NA()"</definedName>
    <definedName name="__Anonymous_Sheet_DB__1_23">"NA()"</definedName>
    <definedName name="__Anonymous_Sheet_DB__1_24">"NA()"</definedName>
    <definedName name="__Anonymous_Sheet_DB__1_25">"NA()"</definedName>
    <definedName name="__Anonymous_Sheet_DB__1_26">"NA()"</definedName>
    <definedName name="__Anonymous_Sheet_DB__1_27">"NA()"</definedName>
    <definedName name="__Anonymous_Sheet_DB__1_28">"NA()"</definedName>
    <definedName name="__Anonymous_Sheet_DB__1_29">"NA()"</definedName>
    <definedName name="__Anonymous_Sheet_DB__1_3">"NA()"</definedName>
    <definedName name="__Anonymous_Sheet_DB__1_30">"NA()"</definedName>
    <definedName name="__Anonymous_Sheet_DB__1_32">"NA()"</definedName>
    <definedName name="__Anonymous_Sheet_DB__1_33">"NA()"</definedName>
    <definedName name="__Anonymous_Sheet_DB__1_34">"NA()"</definedName>
    <definedName name="__Anonymous_Sheet_DB__1_35">"NA()"</definedName>
    <definedName name="__Anonymous_Sheet_DB__1_36">"NA()"</definedName>
    <definedName name="__Anonymous_Sheet_DB__1_37">"NA()"</definedName>
    <definedName name="__Anonymous_Sheet_DB__1_38">"NA()"</definedName>
    <definedName name="__Anonymous_Sheet_DB__1_39">"NA()"</definedName>
    <definedName name="__Anonymous_Sheet_DB__1_4">"NA()"</definedName>
    <definedName name="__Anonymous_Sheet_DB__1_40">"NA()"</definedName>
    <definedName name="__Anonymous_Sheet_DB__1_41">"NA()"</definedName>
    <definedName name="__Anonymous_Sheet_DB__1_42">"NA()"</definedName>
    <definedName name="__Anonymous_Sheet_DB__1_43">"NA()"</definedName>
    <definedName name="__Anonymous_Sheet_DB__1_44">"NA()"</definedName>
    <definedName name="__Anonymous_Sheet_DB__1_45">"NA()"</definedName>
    <definedName name="__Anonymous_Sheet_DB__1_46">"NA()"</definedName>
    <definedName name="__Anonymous_Sheet_DB__1_47">"NA()"</definedName>
    <definedName name="__Anonymous_Sheet_DB__1_48">"NA()"</definedName>
    <definedName name="__Anonymous_Sheet_DB__1_49">"NA()"</definedName>
    <definedName name="__Anonymous_Sheet_DB__1_5">"NA()"</definedName>
    <definedName name="__Anonymous_Sheet_DB__1_50">"NA()"</definedName>
    <definedName name="__Anonymous_Sheet_DB__1_51">"NA()"</definedName>
    <definedName name="__Anonymous_Sheet_DB__1_52">"NA()"</definedName>
    <definedName name="__Anonymous_Sheet_DB__1_53">"NA()"</definedName>
    <definedName name="__Anonymous_Sheet_DB__1_54">"NA()"</definedName>
    <definedName name="__Anonymous_Sheet_DB__1_55">"NA()"</definedName>
    <definedName name="__Anonymous_Sheet_DB__1_56">"NA()"</definedName>
    <definedName name="__Anonymous_Sheet_DB__1_57">"NA()"</definedName>
    <definedName name="__Anonymous_Sheet_DB__1_58">"NA()"</definedName>
    <definedName name="__Anonymous_Sheet_DB__1_59">"NA()"</definedName>
    <definedName name="__Anonymous_Sheet_DB__1_6">"NA()"</definedName>
    <definedName name="__Anonymous_Sheet_DB__1_60">"NA()"</definedName>
    <definedName name="__Anonymous_Sheet_DB__1_61">"NA()"</definedName>
    <definedName name="__Anonymous_Sheet_DB__1_62">"NA()"</definedName>
    <definedName name="__Anonymous_Sheet_DB__1_63">"NA()"</definedName>
    <definedName name="__Anonymous_Sheet_DB__1_64">"NA()"</definedName>
    <definedName name="__Anonymous_Sheet_DB__1_65">"NA()"</definedName>
    <definedName name="__Anonymous_Sheet_DB__1_66">"NA()"</definedName>
    <definedName name="__Anonymous_Sheet_DB__1_68">"NA()"</definedName>
    <definedName name="__Anonymous_Sheet_DB__1_69">"NA()"</definedName>
    <definedName name="__Anonymous_Sheet_DB__1_7">"NA()"</definedName>
    <definedName name="__Anonymous_Sheet_DB__1_70">"NA()"</definedName>
    <definedName name="__Anonymous_Sheet_DB__1_71">"NA()"</definedName>
    <definedName name="__Anonymous_Sheet_DB__1_72">"NA()"</definedName>
    <definedName name="__Anonymous_Sheet_DB__1_73">"NA()"</definedName>
    <definedName name="__Anonymous_Sheet_DB__1_74">"NA()"</definedName>
    <definedName name="__Anonymous_Sheet_DB__1_75">"NA()"</definedName>
    <definedName name="__Anonymous_Sheet_DB__1_76">"NA()"</definedName>
    <definedName name="__Anonymous_Sheet_DB__1_77">"NA()"</definedName>
    <definedName name="__Anonymous_Sheet_DB__1_78">"NA()"</definedName>
    <definedName name="__Anonymous_Sheet_DB__1_79">"NA()"</definedName>
    <definedName name="__Anonymous_Sheet_DB__1_8">"NA()"</definedName>
    <definedName name="__Anonymous_Sheet_DB__1_80">"NA()"</definedName>
    <definedName name="__Anonymous_Sheet_DB__1_81">"NA()"</definedName>
    <definedName name="__Anonymous_Sheet_DB__1_82">"NA()"</definedName>
    <definedName name="__Anonymous_Sheet_DB__1_83">"NA()"</definedName>
    <definedName name="__Anonymous_Sheet_DB__1_84">"NA()"</definedName>
    <definedName name="__Anonymous_Sheet_DB__1_85">"NA()"</definedName>
    <definedName name="__Anonymous_Sheet_DB__1_86">"NA()"</definedName>
    <definedName name="__Anonymous_Sheet_DB__1_87">"NA()"</definedName>
    <definedName name="__Anonymous_Sheet_DB__1_88">"NA()"</definedName>
    <definedName name="__Anonymous_Sheet_DB__1_9">"NA()"</definedName>
    <definedName name="__Anonymous_Sheet_DB__1_91">"NA()"</definedName>
    <definedName name="__Anonymous_Sheet_DB__1_92">"NA()"</definedName>
    <definedName name="__Anonymous_Sheet_DB__1_93">"NA()"</definedName>
    <definedName name="__Anonymous_Sheet_DB__1_94">"NA()"</definedName>
    <definedName name="__Anonymous_Sheet_DB__1_95">"NA()"</definedName>
    <definedName name="__Anonymous_Sheet_DB__1_96">"NA()"</definedName>
    <definedName name="__Anonymous_Sheet_DB__1_97">"NA()"</definedName>
    <definedName name="__Anonymous_Sheet_DB__1_98">"NA()"</definedName>
    <definedName name="__Anonymous_Sheet_DB__1_99">"NA()"</definedName>
    <definedName name="_xlnm._FilterDatabase" localSheetId="1" hidden="1">Hoja5!$A$1:$I$57</definedName>
    <definedName name="_xlnm__FilterDatabase_1">"NA()"</definedName>
    <definedName name="Excel_BuiltIn__FilterDatabase_1">0</definedName>
    <definedName name="Excel_BuiltIn__FilterDatabase_1_1">0</definedName>
    <definedName name="Excel_BuiltIn__FilterDatabase_10">0</definedName>
    <definedName name="Excel_BuiltIn__FilterDatabase_11">0</definedName>
    <definedName name="Excel_BuiltIn__FilterDatabase_12">0</definedName>
    <definedName name="Excel_BuiltIn__FilterDatabase_13">0</definedName>
    <definedName name="Excel_BuiltIn__FilterDatabase_14">0</definedName>
    <definedName name="Excel_BuiltIn__FilterDatabase_15">0</definedName>
    <definedName name="Excel_BuiltIn__FilterDatabase_16">0</definedName>
    <definedName name="Excel_BuiltIn__FilterDatabase_17">0</definedName>
    <definedName name="Excel_BuiltIn__FilterDatabase_18">0</definedName>
    <definedName name="Excel_BuiltIn__FilterDatabase_19">0</definedName>
    <definedName name="Excel_BuiltIn__FilterDatabase_2">0</definedName>
    <definedName name="Excel_BuiltIn__FilterDatabase_20">0</definedName>
    <definedName name="Excel_BuiltIn__FilterDatabase_21">0</definedName>
    <definedName name="Excel_BuiltIn__FilterDatabase_22">0</definedName>
    <definedName name="Excel_BuiltIn__FilterDatabase_23">0</definedName>
    <definedName name="Excel_BuiltIn__FilterDatabase_24">0</definedName>
    <definedName name="Excel_BuiltIn__FilterDatabase_25">0</definedName>
    <definedName name="Excel_BuiltIn__FilterDatabase_26">0</definedName>
    <definedName name="Excel_BuiltIn__FilterDatabase_27">0</definedName>
    <definedName name="Excel_BuiltIn__FilterDatabase_28">0</definedName>
    <definedName name="Excel_BuiltIn__FilterDatabase_29">0</definedName>
    <definedName name="Excel_BuiltIn__FilterDatabase_3">0</definedName>
    <definedName name="Excel_BuiltIn__FilterDatabase_30">0</definedName>
    <definedName name="Excel_BuiltIn__FilterDatabase_31">0</definedName>
    <definedName name="Excel_BuiltIn__FilterDatabase_32">0</definedName>
    <definedName name="Excel_BuiltIn__FilterDatabase_33">0</definedName>
    <definedName name="Excel_BuiltIn__FilterDatabase_34">0</definedName>
    <definedName name="Excel_BuiltIn__FilterDatabase_35">0</definedName>
    <definedName name="Excel_BuiltIn__FilterDatabase_36">0</definedName>
    <definedName name="Excel_BuiltIn__FilterDatabase_37">0</definedName>
    <definedName name="Excel_BuiltIn__FilterDatabase_38">0</definedName>
    <definedName name="Excel_BuiltIn__FilterDatabase_39">0</definedName>
    <definedName name="Excel_BuiltIn__FilterDatabase_4">0</definedName>
    <definedName name="Excel_BuiltIn__FilterDatabase_40">0</definedName>
    <definedName name="Excel_BuiltIn__FilterDatabase_41">0</definedName>
    <definedName name="Excel_BuiltIn__FilterDatabase_42">0</definedName>
    <definedName name="Excel_BuiltIn__FilterDatabase_43">0</definedName>
    <definedName name="Excel_BuiltIn__FilterDatabase_44">0</definedName>
    <definedName name="Excel_BuiltIn__FilterDatabase_45">0</definedName>
    <definedName name="Excel_BuiltIn__FilterDatabase_46">0</definedName>
    <definedName name="Excel_BuiltIn__FilterDatabase_47">0</definedName>
    <definedName name="Excel_BuiltIn__FilterDatabase_48">0</definedName>
    <definedName name="Excel_BuiltIn__FilterDatabase_49">0</definedName>
    <definedName name="Excel_BuiltIn__FilterDatabase_5">0</definedName>
    <definedName name="Excel_BuiltIn__FilterDatabase_50">0</definedName>
    <definedName name="Excel_BuiltIn__FilterDatabase_51">0</definedName>
    <definedName name="Excel_BuiltIn__FilterDatabase_52">0</definedName>
    <definedName name="Excel_BuiltIn__FilterDatabase_53">0</definedName>
    <definedName name="Excel_BuiltIn__FilterDatabase_54">0</definedName>
    <definedName name="Excel_BuiltIn__FilterDatabase_55">0</definedName>
    <definedName name="Excel_BuiltIn__FilterDatabase_56">0</definedName>
    <definedName name="Excel_BuiltIn__FilterDatabase_57">0</definedName>
    <definedName name="Excel_BuiltIn__FilterDatabase_58">0</definedName>
    <definedName name="Excel_BuiltIn__FilterDatabase_59">0</definedName>
    <definedName name="Excel_BuiltIn__FilterDatabase_6">0</definedName>
    <definedName name="Excel_BuiltIn__FilterDatabase_60">0</definedName>
    <definedName name="Excel_BuiltIn__FilterDatabase_61">0</definedName>
    <definedName name="Excel_BuiltIn__FilterDatabase_62">0</definedName>
    <definedName name="Excel_BuiltIn__FilterDatabase_63">0</definedName>
    <definedName name="Excel_BuiltIn__FilterDatabase_64">0</definedName>
    <definedName name="Excel_BuiltIn__FilterDatabase_65">0</definedName>
    <definedName name="Excel_BuiltIn__FilterDatabase_66">0</definedName>
    <definedName name="Excel_BuiltIn__FilterDatabase_67">0</definedName>
    <definedName name="Excel_BuiltIn__FilterDatabase_68">0</definedName>
    <definedName name="Excel_BuiltIn__FilterDatabase_69">0</definedName>
    <definedName name="Excel_BuiltIn__FilterDatabase_7">0</definedName>
    <definedName name="Excel_BuiltIn__FilterDatabase_70">0</definedName>
    <definedName name="Excel_BuiltIn__FilterDatabase_71">0</definedName>
    <definedName name="Excel_BuiltIn__FilterDatabase_72">0</definedName>
    <definedName name="Excel_BuiltIn__FilterDatabase_73">0</definedName>
    <definedName name="Excel_BuiltIn__FilterDatabase_74">0</definedName>
    <definedName name="Excel_BuiltIn__FilterDatabase_75">0</definedName>
    <definedName name="Excel_BuiltIn__FilterDatabase_76">0</definedName>
    <definedName name="Excel_BuiltIn__FilterDatabase_77">0</definedName>
    <definedName name="Excel_BuiltIn__FilterDatabase_78">0</definedName>
    <definedName name="Excel_BuiltIn__FilterDatabase_79">0</definedName>
    <definedName name="Excel_BuiltIn__FilterDatabase_8">0</definedName>
    <definedName name="Excel_BuiltIn__FilterDatabase_80">0</definedName>
    <definedName name="Excel_BuiltIn__FilterDatabase_81">0</definedName>
    <definedName name="Excel_BuiltIn__FilterDatabase_82">0</definedName>
    <definedName name="Excel_BuiltIn__FilterDatabase_83">0</definedName>
    <definedName name="Excel_BuiltIn__FilterDatabase_84">0</definedName>
    <definedName name="Excel_BuiltIn__FilterDatabase_85">0</definedName>
    <definedName name="Excel_BuiltIn__FilterDatabase_86">0</definedName>
    <definedName name="Excel_BuiltIn__FilterDatabase_87">0</definedName>
    <definedName name="Excel_BuiltIn__FilterDatabase_88">0</definedName>
    <definedName name="Excel_BuiltIn__FilterDatabase_89">0</definedName>
    <definedName name="Excel_BuiltIn__FilterDatabase_9">0</definedName>
    <definedName name="Excel_BuiltIn__FilterDatabase_90">"NA()"</definedName>
    <definedName name="Excel_BuiltIn__FilterDatabase_91">"NA()"</definedName>
    <definedName name="Excel_BuiltIn__FilterDatabase_92">"NA()"</definedName>
    <definedName name="Excel_BuiltIn__FilterDatabase_93">"NA()"</definedName>
    <definedName name="Excel_BuiltIn__FilterDatabase_96">"NA()"</definedName>
    <definedName name="Excel_BuiltIn__FilterDatabase_97">"NA()"</definedName>
    <definedName name="Excel_BuiltIn__FilterDatabase_98">"NA()"</definedName>
  </definedNames>
  <calcPr calcId="144525"/>
</workbook>
</file>

<file path=xl/calcChain.xml><?xml version="1.0" encoding="utf-8"?>
<calcChain xmlns="http://schemas.openxmlformats.org/spreadsheetml/2006/main">
  <c r="D58" i="4" l="1"/>
  <c r="E58" i="4"/>
  <c r="F58" i="4"/>
  <c r="G58" i="4"/>
  <c r="H58" i="4"/>
  <c r="I58" i="4"/>
  <c r="C58" i="4"/>
  <c r="D57" i="4"/>
  <c r="E57" i="4"/>
  <c r="F57" i="4"/>
  <c r="G57" i="4"/>
  <c r="H57" i="4"/>
  <c r="I57" i="4"/>
  <c r="C57" i="4"/>
  <c r="D53" i="4"/>
  <c r="E53" i="4"/>
  <c r="F53" i="4"/>
  <c r="G53" i="4"/>
  <c r="H53" i="4"/>
  <c r="I53" i="4"/>
  <c r="C53" i="4"/>
  <c r="D51" i="4"/>
  <c r="E51" i="4"/>
  <c r="F51" i="4"/>
  <c r="G51" i="4"/>
  <c r="H51" i="4"/>
  <c r="I51" i="4"/>
  <c r="C51" i="4"/>
  <c r="D49" i="4"/>
  <c r="E49" i="4"/>
  <c r="F49" i="4"/>
  <c r="G49" i="4"/>
  <c r="H49" i="4"/>
  <c r="I49" i="4"/>
  <c r="C49" i="4"/>
  <c r="D16" i="4"/>
  <c r="E16" i="4"/>
  <c r="F16" i="4"/>
  <c r="G16" i="4"/>
  <c r="H16" i="4"/>
  <c r="I16" i="4"/>
  <c r="C16" i="4"/>
</calcChain>
</file>

<file path=xl/sharedStrings.xml><?xml version="1.0" encoding="utf-8"?>
<sst xmlns="http://schemas.openxmlformats.org/spreadsheetml/2006/main" count="221" uniqueCount="84">
  <si>
    <t>ENERO</t>
  </si>
  <si>
    <t>Etiquetas de fila</t>
  </si>
  <si>
    <t>Suma de total</t>
  </si>
  <si>
    <t>ABRIL</t>
  </si>
  <si>
    <t>DESMONTADO</t>
  </si>
  <si>
    <t xml:space="preserve">DESMONTADO </t>
  </si>
  <si>
    <t xml:space="preserve">ELIMINACION DE FIJADOR + </t>
  </si>
  <si>
    <t>DESMONTADO + ½ BCO QCO</t>
  </si>
  <si>
    <t>ELIMINACION DE FIJADOR + ENZIMATICO</t>
  </si>
  <si>
    <t>DESMONTADO + RETEÑIDO RX</t>
  </si>
  <si>
    <t>ELIMINACION DE FIJADOR + MATIZADO RX</t>
  </si>
  <si>
    <t>ELIMINACION DE FIJADO + MATIZADO RX</t>
  </si>
  <si>
    <t>ENZ + MATIZADO</t>
  </si>
  <si>
    <t>IGUALACION</t>
  </si>
  <si>
    <t>ENJ + MATIZADO</t>
  </si>
  <si>
    <t>LAVADO X IGUALACION</t>
  </si>
  <si>
    <t>ENJ C + MATZ</t>
  </si>
  <si>
    <t>LAVADO X QUEBRADURAS</t>
  </si>
  <si>
    <t>ENJ CA + RETEÑIDO</t>
  </si>
  <si>
    <t>MATIZADO ACIDO</t>
  </si>
  <si>
    <t>ENJ CAL + MATIZ</t>
  </si>
  <si>
    <t>MATIZADO DISPERSO</t>
  </si>
  <si>
    <t>ENJ CAL + TÑ MAT RX</t>
  </si>
  <si>
    <t>MATIZADO LANASET</t>
  </si>
  <si>
    <t>ENJ CAL + TÑ RX (M)</t>
  </si>
  <si>
    <t>MATIZADO RX</t>
  </si>
  <si>
    <t>ENJC + CAL + MATZ</t>
  </si>
  <si>
    <t>RETEÑIDO RX</t>
  </si>
  <si>
    <t>ENJC + MATIZADO</t>
  </si>
  <si>
    <t>Total general</t>
  </si>
  <si>
    <t>ENJC + MATZ</t>
  </si>
  <si>
    <t>FEBRERO</t>
  </si>
  <si>
    <t>LAVADO X QUEBRADURAS + FIJADO</t>
  </si>
  <si>
    <t xml:space="preserve">MATIZADO </t>
  </si>
  <si>
    <t>MATIZADO + FIJADO</t>
  </si>
  <si>
    <t>LAVADO REDUCTIVO + MATIZADO RX</t>
  </si>
  <si>
    <t>LAVADO X MANCHAS</t>
  </si>
  <si>
    <t>MATIZADO RX + FIJADO</t>
  </si>
  <si>
    <t>MATIZADO DISP + MATIZADO RX</t>
  </si>
  <si>
    <t>MATIZADO DSP + TÑ RX</t>
  </si>
  <si>
    <t>MAYO</t>
  </si>
  <si>
    <t>MT + BCO + ENZ</t>
  </si>
  <si>
    <t>REBAJE + FIJADO</t>
  </si>
  <si>
    <t>DESMONTADO + ¼ BCO CATAL</t>
  </si>
  <si>
    <t>DESMONTADO + ½ BCO CATAL</t>
  </si>
  <si>
    <t>MARZO</t>
  </si>
  <si>
    <t>DESMONTADO 2 VECES</t>
  </si>
  <si>
    <t>ENJ CAL+ TÑ RX (M)</t>
  </si>
  <si>
    <t>ELIMINACION DE FIJADOR + DESMONTADO</t>
  </si>
  <si>
    <t>LAVADO X IGUALACION + ENZIMATICO</t>
  </si>
  <si>
    <t>MATIZADO BLANQUEO</t>
  </si>
  <si>
    <t>LAVADO X QUEBRADURAS + ENZIMATICO</t>
  </si>
  <si>
    <t>MATIZADO ERIOFAST</t>
  </si>
  <si>
    <t>JUNIO</t>
  </si>
  <si>
    <t xml:space="preserve">DESMONTADO + ½ BCO </t>
  </si>
  <si>
    <t>DESMONTANDO</t>
  </si>
  <si>
    <t>ENJ + MATIIZADO</t>
  </si>
  <si>
    <t>ENJ CAL + MTZ RX</t>
  </si>
  <si>
    <t>LAVADO X MIGRACION</t>
  </si>
  <si>
    <t>ENJC + MTZ RX</t>
  </si>
  <si>
    <t>ENJZ + MATIZADO</t>
  </si>
  <si>
    <t>MATIZADO RX + ENZIMATICO</t>
  </si>
  <si>
    <t>ELIMINACION DE FIJADOR +</t>
  </si>
  <si>
    <t>DESMONTADO + ½ BCO</t>
  </si>
  <si>
    <t>DEFECTO</t>
  </si>
  <si>
    <t>Enero</t>
  </si>
  <si>
    <t>Febrero</t>
  </si>
  <si>
    <t>Marzo</t>
  </si>
  <si>
    <t>Abril</t>
  </si>
  <si>
    <t>Mayo</t>
  </si>
  <si>
    <t>Junio</t>
  </si>
  <si>
    <t>Julio</t>
  </si>
  <si>
    <t>TIPO DE REPROCESO</t>
  </si>
  <si>
    <t>MALA IGUALACIÓN</t>
  </si>
  <si>
    <t>QUEBRADURAS</t>
  </si>
  <si>
    <t>MIGRACIÓN</t>
  </si>
  <si>
    <t>MANCHAS</t>
  </si>
  <si>
    <t>FUERA DE TONO</t>
  </si>
  <si>
    <t>TOTAL DEFECTOS</t>
  </si>
  <si>
    <t>TOTAL QUEBRADURAS</t>
  </si>
  <si>
    <t>TOTAL MALA IGUALACIÓN</t>
  </si>
  <si>
    <t>TOTAL FUERA DE TONO</t>
  </si>
  <si>
    <t>TOTAL MANCHAS</t>
  </si>
  <si>
    <t>TOTAL MIGRACIÓN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</si>
</sst>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17" x14ac:knownFonts="1">
    <font>
      <sz val="11"/>
      <color rgb="FF000000"/>
      <name val="Arial"/>
      <family val="2"/>
    </font>
    <font>
      <b/>
      <sz val="11"/>
      <color theme="1"/>
      <name val="Arial"/>
      <family val="2"/>
    </font>
    <font>
      <sz val="10"/>
      <color rgb="FFFFFFFF"/>
      <name val="Arial"/>
      <family val="2"/>
      <charset val="1"/>
    </font>
    <font>
      <b/>
      <sz val="10"/>
      <color rgb="FF000000"/>
      <name val="Arial"/>
      <family val="2"/>
      <charset val="1"/>
    </font>
    <font>
      <sz val="10"/>
      <color rgb="FFCC0000"/>
      <name val="Arial"/>
      <family val="2"/>
      <charset val="1"/>
    </font>
    <font>
      <b/>
      <sz val="10"/>
      <color rgb="FFFFFFFF"/>
      <name val="Arial"/>
      <family val="2"/>
      <charset val="1"/>
    </font>
    <font>
      <i/>
      <sz val="10"/>
      <color rgb="FF808080"/>
      <name val="Arial"/>
      <family val="2"/>
      <charset val="1"/>
    </font>
    <font>
      <sz val="10"/>
      <color rgb="FF006600"/>
      <name val="Arial"/>
      <family val="2"/>
      <charset val="1"/>
    </font>
    <font>
      <sz val="18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b/>
      <sz val="24"/>
      <color rgb="FF000000"/>
      <name val="Arial"/>
      <family val="2"/>
      <charset val="1"/>
    </font>
    <font>
      <u/>
      <sz val="10"/>
      <color rgb="FF0000EE"/>
      <name val="Arial"/>
      <family val="2"/>
      <charset val="1"/>
    </font>
    <font>
      <sz val="10"/>
      <color rgb="FF996600"/>
      <name val="Arial"/>
      <family val="2"/>
      <charset val="1"/>
    </font>
    <font>
      <sz val="10"/>
      <color rgb="FF333333"/>
      <name val="Arial"/>
      <family val="2"/>
      <charset val="1"/>
    </font>
    <font>
      <b/>
      <i/>
      <sz val="11"/>
      <color rgb="FF2A6099"/>
      <name val="Arial"/>
      <family val="2"/>
      <charset val="1"/>
    </font>
    <font>
      <sz val="10"/>
      <color rgb="FF000000"/>
      <name val="Arial"/>
      <family val="2"/>
      <charset val="1"/>
    </font>
    <font>
      <b/>
      <sz val="11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0000"/>
        <bgColor rgb="FF003300"/>
      </patternFill>
    </fill>
    <fill>
      <patternFill patternType="solid">
        <fgColor rgb="FF808080"/>
        <bgColor rgb="FF666699"/>
      </patternFill>
    </fill>
    <fill>
      <patternFill patternType="solid">
        <fgColor rgb="FFDDDDDD"/>
        <bgColor rgb="FFDEE6EF"/>
      </patternFill>
    </fill>
    <fill>
      <patternFill patternType="solid">
        <fgColor rgb="FFFFCCCC"/>
        <bgColor rgb="FFE0C2CD"/>
      </patternFill>
    </fill>
    <fill>
      <patternFill patternType="solid">
        <fgColor rgb="FFCC0000"/>
        <bgColor rgb="FFCE181E"/>
      </patternFill>
    </fill>
    <fill>
      <patternFill patternType="solid">
        <fgColor rgb="FFCCFFCC"/>
        <bgColor rgb="FFDEE6EF"/>
      </patternFill>
    </fill>
    <fill>
      <patternFill patternType="solid">
        <fgColor rgb="FFFFFFCC"/>
        <bgColor rgb="FFFFFFFF"/>
      </patternFill>
    </fill>
    <fill>
      <patternFill patternType="solid">
        <fgColor rgb="FFDEE6EF"/>
        <bgColor rgb="FFDDDDDD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14">
    <xf numFmtId="0" fontId="0" fillId="0" borderId="0"/>
    <xf numFmtId="0" fontId="2" fillId="3" borderId="0" applyBorder="0" applyProtection="0"/>
    <xf numFmtId="0" fontId="2" fillId="3" borderId="0" applyBorder="0" applyProtection="0"/>
    <xf numFmtId="0" fontId="2" fillId="3" borderId="0" applyBorder="0" applyProtection="0"/>
    <xf numFmtId="0" fontId="2" fillId="3" borderId="0" applyBorder="0" applyProtection="0"/>
    <xf numFmtId="0" fontId="2" fillId="3" borderId="0" applyBorder="0" applyProtection="0"/>
    <xf numFmtId="0" fontId="2" fillId="3" borderId="0" applyBorder="0" applyProtection="0"/>
    <xf numFmtId="0" fontId="2" fillId="3" borderId="0" applyBorder="0" applyProtection="0"/>
    <xf numFmtId="0" fontId="2" fillId="3" borderId="0" applyBorder="0" applyProtection="0"/>
    <xf numFmtId="0" fontId="2" fillId="3" borderId="0" applyBorder="0" applyProtection="0"/>
    <xf numFmtId="0" fontId="2" fillId="3" borderId="0" applyBorder="0" applyProtection="0"/>
    <xf numFmtId="0" fontId="2" fillId="3" borderId="0" applyBorder="0" applyProtection="0"/>
    <xf numFmtId="0" fontId="2" fillId="3" borderId="0" applyBorder="0" applyProtection="0"/>
    <xf numFmtId="0" fontId="2" fillId="3" borderId="0" applyBorder="0" applyProtection="0"/>
    <xf numFmtId="0" fontId="3" fillId="0" borderId="0" applyBorder="0" applyProtection="0"/>
    <xf numFmtId="0" fontId="3" fillId="0" borderId="0" applyBorder="0" applyProtection="0"/>
    <xf numFmtId="0" fontId="3" fillId="0" borderId="0" applyBorder="0" applyProtection="0"/>
    <xf numFmtId="0" fontId="3" fillId="0" borderId="0" applyBorder="0" applyProtection="0"/>
    <xf numFmtId="0" fontId="3" fillId="0" borderId="0" applyBorder="0" applyProtection="0"/>
    <xf numFmtId="0" fontId="3" fillId="0" borderId="0" applyBorder="0" applyProtection="0"/>
    <xf numFmtId="0" fontId="3" fillId="0" borderId="0" applyBorder="0" applyProtection="0"/>
    <xf numFmtId="0" fontId="2" fillId="4" borderId="0" applyBorder="0" applyProtection="0"/>
    <xf numFmtId="0" fontId="2" fillId="4" borderId="0" applyBorder="0" applyProtection="0"/>
    <xf numFmtId="0" fontId="2" fillId="4" borderId="0" applyBorder="0" applyProtection="0"/>
    <xf numFmtId="0" fontId="2" fillId="4" borderId="0" applyBorder="0" applyProtection="0"/>
    <xf numFmtId="0" fontId="2" fillId="4" borderId="0" applyBorder="0" applyProtection="0"/>
    <xf numFmtId="0" fontId="2" fillId="4" borderId="0" applyBorder="0" applyProtection="0"/>
    <xf numFmtId="0" fontId="2" fillId="4" borderId="0" applyBorder="0" applyProtection="0"/>
    <xf numFmtId="0" fontId="2" fillId="4" borderId="0" applyBorder="0" applyProtection="0"/>
    <xf numFmtId="0" fontId="2" fillId="4" borderId="0" applyBorder="0" applyProtection="0"/>
    <xf numFmtId="0" fontId="2" fillId="4" borderId="0" applyBorder="0" applyProtection="0"/>
    <xf numFmtId="0" fontId="2" fillId="4" borderId="0" applyBorder="0" applyProtection="0"/>
    <xf numFmtId="0" fontId="2" fillId="4" borderId="0" applyBorder="0" applyProtection="0"/>
    <xf numFmtId="0" fontId="2" fillId="4" borderId="0" applyBorder="0" applyProtection="0"/>
    <xf numFmtId="0" fontId="3" fillId="0" borderId="0" applyBorder="0" applyProtection="0"/>
    <xf numFmtId="0" fontId="3" fillId="0" borderId="0" applyBorder="0" applyProtection="0"/>
    <xf numFmtId="0" fontId="3" fillId="0" borderId="0" applyBorder="0" applyProtection="0"/>
    <xf numFmtId="0" fontId="3" fillId="0" borderId="0" applyBorder="0" applyProtection="0"/>
    <xf numFmtId="0" fontId="3" fillId="0" borderId="0" applyBorder="0" applyProtection="0"/>
    <xf numFmtId="0" fontId="3" fillId="5" borderId="0" applyBorder="0" applyProtection="0"/>
    <xf numFmtId="0" fontId="3" fillId="5" borderId="0" applyBorder="0" applyProtection="0"/>
    <xf numFmtId="0" fontId="3" fillId="5" borderId="0" applyBorder="0" applyProtection="0"/>
    <xf numFmtId="0" fontId="3" fillId="5" borderId="0" applyBorder="0" applyProtection="0"/>
    <xf numFmtId="0" fontId="3" fillId="5" borderId="0" applyBorder="0" applyProtection="0"/>
    <xf numFmtId="0" fontId="3" fillId="5" borderId="0" applyBorder="0" applyProtection="0"/>
    <xf numFmtId="0" fontId="3" fillId="5" borderId="0" applyBorder="0" applyProtection="0"/>
    <xf numFmtId="0" fontId="3" fillId="5" borderId="0" applyBorder="0" applyProtection="0"/>
    <xf numFmtId="0" fontId="3" fillId="5" borderId="0" applyBorder="0" applyProtection="0"/>
    <xf numFmtId="0" fontId="3" fillId="5" borderId="0" applyBorder="0" applyProtection="0"/>
    <xf numFmtId="0" fontId="3" fillId="5" borderId="0" applyBorder="0" applyProtection="0"/>
    <xf numFmtId="0" fontId="3" fillId="5" borderId="0" applyBorder="0" applyProtection="0"/>
    <xf numFmtId="0" fontId="3" fillId="5" borderId="0" applyBorder="0" applyProtection="0"/>
    <xf numFmtId="0" fontId="3" fillId="0" borderId="0" applyBorder="0" applyProtection="0"/>
    <xf numFmtId="0" fontId="3" fillId="0" borderId="0" applyBorder="0" applyProtection="0"/>
    <xf numFmtId="0" fontId="4" fillId="6" borderId="0" applyBorder="0" applyProtection="0"/>
    <xf numFmtId="0" fontId="4" fillId="6" borderId="0" applyBorder="0" applyProtection="0"/>
    <xf numFmtId="0" fontId="4" fillId="6" borderId="0" applyBorder="0" applyProtection="0"/>
    <xf numFmtId="0" fontId="4" fillId="6" borderId="0" applyBorder="0" applyProtection="0"/>
    <xf numFmtId="0" fontId="4" fillId="6" borderId="0" applyBorder="0" applyProtection="0"/>
    <xf numFmtId="0" fontId="4" fillId="6" borderId="0" applyBorder="0" applyProtection="0"/>
    <xf numFmtId="0" fontId="4" fillId="6" borderId="0" applyBorder="0" applyProtection="0"/>
    <xf numFmtId="0" fontId="4" fillId="6" borderId="0" applyBorder="0" applyProtection="0"/>
    <xf numFmtId="0" fontId="4" fillId="6" borderId="0" applyBorder="0" applyProtection="0"/>
    <xf numFmtId="0" fontId="4" fillId="6" borderId="0" applyBorder="0" applyProtection="0"/>
    <xf numFmtId="0" fontId="4" fillId="6" borderId="0" applyBorder="0" applyProtection="0"/>
    <xf numFmtId="0" fontId="4" fillId="6" borderId="0" applyBorder="0" applyProtection="0"/>
    <xf numFmtId="0" fontId="4" fillId="6" borderId="0" applyBorder="0" applyProtection="0"/>
    <xf numFmtId="0" fontId="5" fillId="7" borderId="0" applyBorder="0" applyProtection="0"/>
    <xf numFmtId="0" fontId="5" fillId="7" borderId="0" applyBorder="0" applyProtection="0"/>
    <xf numFmtId="0" fontId="5" fillId="7" borderId="0" applyBorder="0" applyProtection="0"/>
    <xf numFmtId="0" fontId="5" fillId="7" borderId="0" applyBorder="0" applyProtection="0"/>
    <xf numFmtId="0" fontId="5" fillId="7" borderId="0" applyBorder="0" applyProtection="0"/>
    <xf numFmtId="0" fontId="5" fillId="7" borderId="0" applyBorder="0" applyProtection="0"/>
    <xf numFmtId="0" fontId="5" fillId="7" borderId="0" applyBorder="0" applyProtection="0"/>
    <xf numFmtId="0" fontId="5" fillId="7" borderId="0" applyBorder="0" applyProtection="0"/>
    <xf numFmtId="0" fontId="5" fillId="7" borderId="0" applyBorder="0" applyProtection="0"/>
    <xf numFmtId="0" fontId="5" fillId="7" borderId="0" applyBorder="0" applyProtection="0"/>
    <xf numFmtId="0" fontId="5" fillId="7" borderId="0" applyBorder="0" applyProtection="0"/>
    <xf numFmtId="0" fontId="5" fillId="7" borderId="0" applyBorder="0" applyProtection="0"/>
    <xf numFmtId="0" fontId="5" fillId="7" borderId="0" applyBorder="0" applyProtection="0"/>
    <xf numFmtId="0" fontId="5" fillId="7" borderId="0" applyBorder="0" applyProtection="0"/>
    <xf numFmtId="0" fontId="5" fillId="7" borderId="0" applyBorder="0" applyProtection="0"/>
    <xf numFmtId="0" fontId="6" fillId="0" borderId="0" applyBorder="0" applyProtection="0"/>
    <xf numFmtId="0" fontId="6" fillId="0" borderId="0" applyBorder="0" applyProtection="0"/>
    <xf numFmtId="0" fontId="6" fillId="0" borderId="0" applyBorder="0" applyProtection="0"/>
    <xf numFmtId="0" fontId="6" fillId="0" borderId="0" applyBorder="0" applyProtection="0"/>
    <xf numFmtId="0" fontId="6" fillId="0" borderId="0" applyBorder="0" applyProtection="0"/>
    <xf numFmtId="0" fontId="6" fillId="0" borderId="0" applyBorder="0" applyProtection="0"/>
    <xf numFmtId="0" fontId="6" fillId="0" borderId="0" applyBorder="0" applyProtection="0"/>
    <xf numFmtId="0" fontId="6" fillId="0" borderId="0" applyBorder="0" applyProtection="0"/>
    <xf numFmtId="0" fontId="6" fillId="0" borderId="0" applyBorder="0" applyProtection="0"/>
    <xf numFmtId="0" fontId="6" fillId="0" borderId="0" applyBorder="0" applyProtection="0"/>
    <xf numFmtId="0" fontId="6" fillId="0" borderId="0" applyBorder="0" applyProtection="0"/>
    <xf numFmtId="0" fontId="6" fillId="0" borderId="0" applyBorder="0" applyProtection="0"/>
    <xf numFmtId="0" fontId="6" fillId="0" borderId="0" applyBorder="0" applyProtection="0"/>
    <xf numFmtId="0" fontId="7" fillId="8" borderId="0" applyBorder="0" applyProtection="0"/>
    <xf numFmtId="0" fontId="7" fillId="8" borderId="0" applyBorder="0" applyProtection="0"/>
    <xf numFmtId="0" fontId="7" fillId="8" borderId="0" applyBorder="0" applyProtection="0"/>
    <xf numFmtId="0" fontId="7" fillId="8" borderId="0" applyBorder="0" applyProtection="0"/>
    <xf numFmtId="0" fontId="7" fillId="8" borderId="0" applyBorder="0" applyProtection="0"/>
    <xf numFmtId="0" fontId="7" fillId="8" borderId="0" applyBorder="0" applyProtection="0"/>
    <xf numFmtId="0" fontId="7" fillId="8" borderId="0" applyBorder="0" applyProtection="0"/>
    <xf numFmtId="0" fontId="7" fillId="8" borderId="0" applyBorder="0" applyProtection="0"/>
    <xf numFmtId="0" fontId="7" fillId="8" borderId="0" applyBorder="0" applyProtection="0"/>
    <xf numFmtId="0" fontId="7" fillId="8" borderId="0" applyBorder="0" applyProtection="0"/>
    <xf numFmtId="0" fontId="7" fillId="8" borderId="0" applyBorder="0" applyProtection="0"/>
    <xf numFmtId="0" fontId="7" fillId="8" borderId="0" applyBorder="0" applyProtection="0"/>
    <xf numFmtId="0" fontId="7" fillId="8" borderId="0" applyBorder="0" applyProtection="0"/>
    <xf numFmtId="0" fontId="8" fillId="0" borderId="0" applyBorder="0" applyProtection="0"/>
    <xf numFmtId="0" fontId="8" fillId="0" borderId="0" applyBorder="0" applyProtection="0"/>
    <xf numFmtId="0" fontId="8" fillId="0" borderId="0" applyBorder="0" applyProtection="0"/>
    <xf numFmtId="0" fontId="8" fillId="0" borderId="0" applyBorder="0" applyProtection="0"/>
    <xf numFmtId="0" fontId="8" fillId="0" borderId="0" applyBorder="0" applyProtection="0"/>
    <xf numFmtId="0" fontId="8" fillId="0" borderId="0" applyBorder="0" applyProtection="0"/>
    <xf numFmtId="0" fontId="8" fillId="0" borderId="0" applyBorder="0" applyProtection="0"/>
    <xf numFmtId="0" fontId="8" fillId="0" borderId="0" applyBorder="0" applyProtection="0"/>
    <xf numFmtId="0" fontId="8" fillId="0" borderId="0" applyBorder="0" applyProtection="0"/>
    <xf numFmtId="0" fontId="8" fillId="0" borderId="0" applyBorder="0" applyProtection="0"/>
    <xf numFmtId="0" fontId="8" fillId="0" borderId="0" applyBorder="0" applyProtection="0"/>
    <xf numFmtId="0" fontId="8" fillId="0" borderId="0" applyBorder="0" applyProtection="0"/>
    <xf numFmtId="0" fontId="8" fillId="0" borderId="0" applyBorder="0" applyProtection="0"/>
    <xf numFmtId="0" fontId="9" fillId="0" borderId="0" applyBorder="0" applyProtection="0"/>
    <xf numFmtId="0" fontId="9" fillId="0" borderId="0" applyBorder="0" applyProtection="0"/>
    <xf numFmtId="0" fontId="9" fillId="0" borderId="0" applyBorder="0" applyProtection="0"/>
    <xf numFmtId="0" fontId="9" fillId="0" borderId="0" applyBorder="0" applyProtection="0"/>
    <xf numFmtId="0" fontId="9" fillId="0" borderId="0" applyBorder="0" applyProtection="0"/>
    <xf numFmtId="0" fontId="9" fillId="0" borderId="0" applyBorder="0" applyProtection="0"/>
    <xf numFmtId="0" fontId="9" fillId="0" borderId="0" applyBorder="0" applyProtection="0"/>
    <xf numFmtId="0" fontId="9" fillId="0" borderId="0" applyBorder="0" applyProtection="0"/>
    <xf numFmtId="0" fontId="9" fillId="0" borderId="0" applyBorder="0" applyProtection="0"/>
    <xf numFmtId="0" fontId="9" fillId="0" borderId="0" applyBorder="0" applyProtection="0"/>
    <xf numFmtId="0" fontId="9" fillId="0" borderId="0" applyBorder="0" applyProtection="0"/>
    <xf numFmtId="0" fontId="9" fillId="0" borderId="0" applyBorder="0" applyProtection="0"/>
    <xf numFmtId="0" fontId="9" fillId="0" borderId="0" applyBorder="0" applyProtection="0"/>
    <xf numFmtId="0" fontId="10" fillId="0" borderId="0" applyBorder="0" applyProtection="0"/>
    <xf numFmtId="0" fontId="11" fillId="0" borderId="0" applyBorder="0" applyProtection="0"/>
    <xf numFmtId="0" fontId="11" fillId="0" borderId="0" applyBorder="0" applyProtection="0"/>
    <xf numFmtId="0" fontId="11" fillId="0" borderId="0" applyBorder="0" applyProtection="0"/>
    <xf numFmtId="0" fontId="11" fillId="0" borderId="0" applyBorder="0" applyProtection="0"/>
    <xf numFmtId="0" fontId="11" fillId="0" borderId="0" applyBorder="0" applyProtection="0"/>
    <xf numFmtId="0" fontId="11" fillId="0" borderId="0" applyBorder="0" applyProtection="0"/>
    <xf numFmtId="0" fontId="11" fillId="0" borderId="0" applyBorder="0" applyProtection="0"/>
    <xf numFmtId="0" fontId="11" fillId="0" borderId="0" applyBorder="0" applyProtection="0"/>
    <xf numFmtId="0" fontId="11" fillId="0" borderId="0" applyBorder="0" applyProtection="0"/>
    <xf numFmtId="0" fontId="11" fillId="0" borderId="0" applyBorder="0" applyProtection="0"/>
    <xf numFmtId="0" fontId="11" fillId="0" borderId="0" applyBorder="0" applyProtection="0"/>
    <xf numFmtId="0" fontId="11" fillId="0" borderId="0" applyBorder="0" applyProtection="0"/>
    <xf numFmtId="0" fontId="11" fillId="0" borderId="0" applyBorder="0" applyProtection="0"/>
    <xf numFmtId="0" fontId="12" fillId="9" borderId="0" applyBorder="0" applyProtection="0"/>
    <xf numFmtId="0" fontId="12" fillId="9" borderId="0" applyBorder="0" applyProtection="0"/>
    <xf numFmtId="0" fontId="12" fillId="9" borderId="0" applyBorder="0" applyProtection="0"/>
    <xf numFmtId="0" fontId="12" fillId="9" borderId="0" applyBorder="0" applyProtection="0"/>
    <xf numFmtId="0" fontId="12" fillId="9" borderId="0" applyBorder="0" applyProtection="0"/>
    <xf numFmtId="0" fontId="12" fillId="9" borderId="0" applyBorder="0" applyProtection="0"/>
    <xf numFmtId="0" fontId="12" fillId="9" borderId="0" applyBorder="0" applyProtection="0"/>
    <xf numFmtId="0" fontId="12" fillId="9" borderId="0" applyBorder="0" applyProtection="0"/>
    <xf numFmtId="0" fontId="12" fillId="9" borderId="0" applyBorder="0" applyProtection="0"/>
    <xf numFmtId="0" fontId="12" fillId="9" borderId="0" applyBorder="0" applyProtection="0"/>
    <xf numFmtId="0" fontId="12" fillId="9" borderId="0" applyBorder="0" applyProtection="0"/>
    <xf numFmtId="0" fontId="12" fillId="9" borderId="0" applyBorder="0" applyProtection="0"/>
    <xf numFmtId="0" fontId="12" fillId="9" borderId="0" applyBorder="0" applyProtection="0"/>
    <xf numFmtId="0" fontId="13" fillId="9" borderId="3" applyProtection="0"/>
    <xf numFmtId="0" fontId="13" fillId="9" borderId="3" applyProtection="0"/>
    <xf numFmtId="0" fontId="13" fillId="9" borderId="3" applyProtection="0"/>
    <xf numFmtId="0" fontId="13" fillId="9" borderId="3" applyProtection="0"/>
    <xf numFmtId="0" fontId="13" fillId="9" borderId="3" applyProtection="0"/>
    <xf numFmtId="0" fontId="13" fillId="9" borderId="3" applyProtection="0"/>
    <xf numFmtId="0" fontId="13" fillId="9" borderId="3" applyProtection="0"/>
    <xf numFmtId="0" fontId="13" fillId="9" borderId="3" applyProtection="0"/>
    <xf numFmtId="0" fontId="13" fillId="9" borderId="3" applyProtection="0"/>
    <xf numFmtId="0" fontId="13" fillId="9" borderId="3" applyProtection="0"/>
    <xf numFmtId="0" fontId="13" fillId="9" borderId="3" applyProtection="0"/>
    <xf numFmtId="0" fontId="13" fillId="9" borderId="3" applyProtection="0"/>
    <xf numFmtId="0" fontId="13" fillId="9" borderId="3" applyProtection="0"/>
    <xf numFmtId="49" fontId="14" fillId="10" borderId="0" applyBorder="0" applyProtection="0">
      <alignment horizontal="left" textRotation="15"/>
    </xf>
    <xf numFmtId="0" fontId="15" fillId="0" borderId="0" applyBorder="0" applyProtection="0"/>
    <xf numFmtId="0" fontId="15" fillId="0" borderId="0" applyBorder="0" applyProtection="0"/>
    <xf numFmtId="0" fontId="15" fillId="0" borderId="0" applyBorder="0" applyProtection="0"/>
    <xf numFmtId="0" fontId="15" fillId="0" borderId="0" applyBorder="0" applyProtection="0"/>
    <xf numFmtId="0" fontId="15" fillId="0" borderId="0" applyBorder="0" applyProtection="0"/>
    <xf numFmtId="0" fontId="15" fillId="0" borderId="0" applyBorder="0" applyProtection="0"/>
    <xf numFmtId="0" fontId="15" fillId="0" borderId="0" applyBorder="0" applyProtection="0"/>
    <xf numFmtId="0" fontId="15" fillId="0" borderId="0" applyBorder="0" applyProtection="0"/>
    <xf numFmtId="0" fontId="15" fillId="0" borderId="0" applyBorder="0" applyProtection="0"/>
    <xf numFmtId="0" fontId="15" fillId="0" borderId="0" applyBorder="0" applyProtection="0"/>
    <xf numFmtId="0" fontId="15" fillId="0" borderId="0" applyBorder="0" applyProtection="0"/>
    <xf numFmtId="0" fontId="15" fillId="0" borderId="0" applyBorder="0" applyProtection="0"/>
    <xf numFmtId="0" fontId="15" fillId="0" borderId="0" applyBorder="0" applyProtection="0"/>
    <xf numFmtId="0" fontId="15" fillId="0" borderId="0" applyBorder="0" applyProtection="0"/>
    <xf numFmtId="0" fontId="15" fillId="0" borderId="0" applyBorder="0" applyProtection="0"/>
    <xf numFmtId="0" fontId="15" fillId="0" borderId="0" applyBorder="0" applyProtection="0"/>
    <xf numFmtId="0" fontId="15" fillId="0" borderId="0" applyBorder="0" applyProtection="0"/>
    <xf numFmtId="0" fontId="15" fillId="0" borderId="0" applyBorder="0" applyProtection="0"/>
    <xf numFmtId="0" fontId="15" fillId="0" borderId="0" applyBorder="0" applyProtection="0"/>
    <xf numFmtId="0" fontId="15" fillId="0" borderId="0" applyBorder="0" applyProtection="0"/>
    <xf numFmtId="0" fontId="15" fillId="0" borderId="0" applyBorder="0" applyProtection="0"/>
    <xf numFmtId="0" fontId="15" fillId="0" borderId="0" applyBorder="0" applyProtection="0"/>
    <xf numFmtId="0" fontId="15" fillId="0" borderId="0" applyBorder="0" applyProtection="0"/>
    <xf numFmtId="0" fontId="15" fillId="0" borderId="0" applyBorder="0" applyProtection="0"/>
    <xf numFmtId="0" fontId="15" fillId="0" borderId="0" applyBorder="0" applyProtection="0"/>
    <xf numFmtId="0" fontId="15" fillId="0" borderId="0" applyBorder="0" applyProtection="0"/>
    <xf numFmtId="0" fontId="4" fillId="0" borderId="0" applyBorder="0" applyProtection="0"/>
    <xf numFmtId="0" fontId="4" fillId="0" borderId="0" applyBorder="0" applyProtection="0"/>
    <xf numFmtId="0" fontId="4" fillId="0" borderId="0" applyBorder="0" applyProtection="0"/>
    <xf numFmtId="0" fontId="4" fillId="0" borderId="0" applyBorder="0" applyProtection="0"/>
    <xf numFmtId="0" fontId="4" fillId="0" borderId="0" applyBorder="0" applyProtection="0"/>
    <xf numFmtId="0" fontId="4" fillId="0" borderId="0" applyBorder="0" applyProtection="0"/>
    <xf numFmtId="0" fontId="4" fillId="0" borderId="0" applyBorder="0" applyProtection="0"/>
    <xf numFmtId="0" fontId="4" fillId="0" borderId="0" applyBorder="0" applyProtection="0"/>
    <xf numFmtId="0" fontId="4" fillId="0" borderId="0" applyBorder="0" applyProtection="0"/>
    <xf numFmtId="0" fontId="4" fillId="0" borderId="0" applyBorder="0" applyProtection="0"/>
    <xf numFmtId="0" fontId="4" fillId="0" borderId="0" applyBorder="0" applyProtection="0"/>
    <xf numFmtId="0" fontId="4" fillId="0" borderId="0" applyBorder="0" applyProtection="0"/>
    <xf numFmtId="0" fontId="4" fillId="0" borderId="0" applyBorder="0" applyProtection="0"/>
  </cellStyleXfs>
  <cellXfs count="52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horizontal="left"/>
    </xf>
    <xf numFmtId="0" fontId="0" fillId="0" borderId="0" xfId="0" applyNumberFormat="1"/>
    <xf numFmtId="0" fontId="1" fillId="2" borderId="2" xfId="0" applyFont="1" applyFill="1" applyBorder="1" applyAlignment="1">
      <alignment horizontal="left"/>
    </xf>
    <xf numFmtId="0" fontId="1" fillId="2" borderId="2" xfId="0" applyNumberFormat="1" applyFont="1" applyFill="1" applyBorder="1"/>
    <xf numFmtId="0" fontId="0" fillId="0" borderId="4" xfId="0" applyBorder="1"/>
    <xf numFmtId="0" fontId="16" fillId="0" borderId="4" xfId="0" applyFont="1" applyBorder="1"/>
    <xf numFmtId="0" fontId="16" fillId="11" borderId="4" xfId="0" applyFont="1" applyFill="1" applyBorder="1"/>
    <xf numFmtId="0" fontId="16" fillId="11" borderId="6" xfId="0" applyFont="1" applyFill="1" applyBorder="1"/>
    <xf numFmtId="0" fontId="0" fillId="0" borderId="7" xfId="0" applyBorder="1"/>
    <xf numFmtId="0" fontId="0" fillId="0" borderId="9" xfId="0" applyBorder="1"/>
    <xf numFmtId="0" fontId="0" fillId="0" borderId="14" xfId="0" applyBorder="1"/>
    <xf numFmtId="0" fontId="0" fillId="0" borderId="6" xfId="0" applyBorder="1"/>
    <xf numFmtId="0" fontId="16" fillId="0" borderId="17" xfId="0" applyFont="1" applyBorder="1"/>
    <xf numFmtId="0" fontId="16" fillId="11" borderId="17" xfId="0" applyFont="1" applyFill="1" applyBorder="1"/>
    <xf numFmtId="0" fontId="16" fillId="12" borderId="17" xfId="0" applyFont="1" applyFill="1" applyBorder="1"/>
    <xf numFmtId="0" fontId="16" fillId="0" borderId="5" xfId="0" applyFont="1" applyFill="1" applyBorder="1"/>
    <xf numFmtId="164" fontId="0" fillId="0" borderId="9" xfId="0" applyNumberFormat="1" applyBorder="1"/>
    <xf numFmtId="164" fontId="0" fillId="0" borderId="10" xfId="0" applyNumberFormat="1" applyBorder="1"/>
    <xf numFmtId="164" fontId="0" fillId="0" borderId="4" xfId="0" applyNumberFormat="1" applyBorder="1"/>
    <xf numFmtId="164" fontId="0" fillId="0" borderId="12" xfId="0" applyNumberFormat="1" applyBorder="1"/>
    <xf numFmtId="164" fontId="0" fillId="0" borderId="14" xfId="0" applyNumberFormat="1" applyBorder="1"/>
    <xf numFmtId="164" fontId="0" fillId="0" borderId="15" xfId="0" applyNumberFormat="1" applyBorder="1"/>
    <xf numFmtId="164" fontId="16" fillId="0" borderId="17" xfId="0" applyNumberFormat="1" applyFont="1" applyBorder="1"/>
    <xf numFmtId="164" fontId="16" fillId="0" borderId="18" xfId="0" applyNumberFormat="1" applyFont="1" applyBorder="1"/>
    <xf numFmtId="164" fontId="0" fillId="0" borderId="7" xfId="0" applyNumberFormat="1" applyBorder="1"/>
    <xf numFmtId="164" fontId="0" fillId="0" borderId="6" xfId="0" applyNumberFormat="1" applyBorder="1"/>
    <xf numFmtId="164" fontId="16" fillId="12" borderId="17" xfId="0" applyNumberFormat="1" applyFont="1" applyFill="1" applyBorder="1"/>
    <xf numFmtId="164" fontId="16" fillId="12" borderId="18" xfId="0" applyNumberFormat="1" applyFont="1" applyFill="1" applyBorder="1"/>
    <xf numFmtId="164" fontId="16" fillId="0" borderId="7" xfId="0" applyNumberFormat="1" applyFont="1" applyBorder="1"/>
    <xf numFmtId="164" fontId="16" fillId="0" borderId="4" xfId="0" applyNumberFormat="1" applyFont="1" applyBorder="1"/>
    <xf numFmtId="164" fontId="16" fillId="0" borderId="0" xfId="0" applyNumberFormat="1" applyFont="1"/>
    <xf numFmtId="164" fontId="16" fillId="11" borderId="20" xfId="0" applyNumberFormat="1" applyFont="1" applyFill="1" applyBorder="1"/>
    <xf numFmtId="164" fontId="16" fillId="11" borderId="21" xfId="0" applyNumberFormat="1" applyFont="1" applyFill="1" applyBorder="1"/>
    <xf numFmtId="0" fontId="16" fillId="11" borderId="6" xfId="0" applyFont="1" applyFill="1" applyBorder="1" applyAlignment="1">
      <alignment wrapText="1"/>
    </xf>
    <xf numFmtId="0" fontId="16" fillId="0" borderId="6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11" borderId="19" xfId="0" applyFont="1" applyFill="1" applyBorder="1" applyAlignment="1">
      <alignment wrapText="1"/>
    </xf>
    <xf numFmtId="0" fontId="16" fillId="0" borderId="8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12" borderId="16" xfId="0" applyFont="1" applyFill="1" applyBorder="1" applyAlignment="1">
      <alignment horizontal="center" vertical="center" wrapText="1"/>
    </xf>
    <xf numFmtId="0" fontId="16" fillId="0" borderId="7" xfId="0" applyFont="1" applyBorder="1" applyAlignment="1">
      <alignment wrapText="1"/>
    </xf>
    <xf numFmtId="0" fontId="16" fillId="0" borderId="4" xfId="0" applyFont="1" applyBorder="1" applyAlignment="1">
      <alignment wrapText="1"/>
    </xf>
    <xf numFmtId="0" fontId="16" fillId="0" borderId="6" xfId="0" applyFont="1" applyBorder="1" applyAlignment="1">
      <alignment wrapText="1"/>
    </xf>
    <xf numFmtId="0" fontId="16" fillId="0" borderId="0" xfId="0" applyFont="1" applyAlignment="1">
      <alignment wrapText="1"/>
    </xf>
    <xf numFmtId="0" fontId="16" fillId="12" borderId="4" xfId="0" applyFont="1" applyFill="1" applyBorder="1"/>
    <xf numFmtId="164" fontId="16" fillId="12" borderId="4" xfId="0" applyNumberFormat="1" applyFont="1" applyFill="1" applyBorder="1"/>
    <xf numFmtId="0" fontId="16" fillId="0" borderId="4" xfId="0" applyFont="1" applyFill="1" applyBorder="1"/>
  </cellXfs>
  <cellStyles count="214">
    <cellStyle name="Accent 1 1" xfId="1"/>
    <cellStyle name="Accent 1 14" xfId="2"/>
    <cellStyle name="Accent 1 15" xfId="3"/>
    <cellStyle name="Accent 1 16" xfId="4"/>
    <cellStyle name="Accent 1 17" xfId="5"/>
    <cellStyle name="Accent 1 18" xfId="6"/>
    <cellStyle name="Accent 1 19" xfId="7"/>
    <cellStyle name="Accent 1 20" xfId="8"/>
    <cellStyle name="Accent 1 21" xfId="9"/>
    <cellStyle name="Accent 1 23" xfId="10"/>
    <cellStyle name="Accent 1 24" xfId="11"/>
    <cellStyle name="Accent 1 25" xfId="12"/>
    <cellStyle name="Accent 1 26" xfId="13"/>
    <cellStyle name="Accent 13" xfId="14"/>
    <cellStyle name="Accent 14" xfId="15"/>
    <cellStyle name="Accent 15" xfId="16"/>
    <cellStyle name="Accent 16" xfId="17"/>
    <cellStyle name="Accent 17" xfId="18"/>
    <cellStyle name="Accent 18" xfId="19"/>
    <cellStyle name="Accent 19" xfId="20"/>
    <cellStyle name="Accent 2 1" xfId="21"/>
    <cellStyle name="Accent 2 15" xfId="22"/>
    <cellStyle name="Accent 2 16" xfId="23"/>
    <cellStyle name="Accent 2 17" xfId="24"/>
    <cellStyle name="Accent 2 18" xfId="25"/>
    <cellStyle name="Accent 2 19" xfId="26"/>
    <cellStyle name="Accent 2 20" xfId="27"/>
    <cellStyle name="Accent 2 21" xfId="28"/>
    <cellStyle name="Accent 2 22" xfId="29"/>
    <cellStyle name="Accent 2 24" xfId="30"/>
    <cellStyle name="Accent 2 25" xfId="31"/>
    <cellStyle name="Accent 2 26" xfId="32"/>
    <cellStyle name="Accent 2 27" xfId="33"/>
    <cellStyle name="Accent 20" xfId="34"/>
    <cellStyle name="Accent 22" xfId="35"/>
    <cellStyle name="Accent 23" xfId="36"/>
    <cellStyle name="Accent 24" xfId="37"/>
    <cellStyle name="Accent 25" xfId="38"/>
    <cellStyle name="Accent 3 1" xfId="39"/>
    <cellStyle name="Accent 3 16" xfId="40"/>
    <cellStyle name="Accent 3 17" xfId="41"/>
    <cellStyle name="Accent 3 18" xfId="42"/>
    <cellStyle name="Accent 3 19" xfId="43"/>
    <cellStyle name="Accent 3 20" xfId="44"/>
    <cellStyle name="Accent 3 21" xfId="45"/>
    <cellStyle name="Accent 3 22" xfId="46"/>
    <cellStyle name="Accent 3 23" xfId="47"/>
    <cellStyle name="Accent 3 25" xfId="48"/>
    <cellStyle name="Accent 3 26" xfId="49"/>
    <cellStyle name="Accent 3 27" xfId="50"/>
    <cellStyle name="Accent 3 28" xfId="51"/>
    <cellStyle name="Accent 4" xfId="52"/>
    <cellStyle name="Accent 5" xfId="53"/>
    <cellStyle name="Bad 1" xfId="54"/>
    <cellStyle name="Bad 10" xfId="55"/>
    <cellStyle name="Bad 11" xfId="56"/>
    <cellStyle name="Bad 12" xfId="57"/>
    <cellStyle name="Bad 13" xfId="58"/>
    <cellStyle name="Bad 14" xfId="59"/>
    <cellStyle name="Bad 15" xfId="60"/>
    <cellStyle name="Bad 16" xfId="61"/>
    <cellStyle name="Bad 17" xfId="62"/>
    <cellStyle name="Bad 19" xfId="63"/>
    <cellStyle name="Bad 20" xfId="64"/>
    <cellStyle name="Bad 21" xfId="65"/>
    <cellStyle name="Bad 22" xfId="66"/>
    <cellStyle name="Error 1" xfId="67"/>
    <cellStyle name="Error 12" xfId="68"/>
    <cellStyle name="Error 13" xfId="69"/>
    <cellStyle name="Error 14" xfId="70"/>
    <cellStyle name="Error 15" xfId="71"/>
    <cellStyle name="Error 16" xfId="72"/>
    <cellStyle name="Error 17" xfId="73"/>
    <cellStyle name="Error 18" xfId="74"/>
    <cellStyle name="Error 19" xfId="75"/>
    <cellStyle name="Error 2" xfId="76"/>
    <cellStyle name="Error 21" xfId="77"/>
    <cellStyle name="Error 22" xfId="78"/>
    <cellStyle name="Error 23" xfId="79"/>
    <cellStyle name="Error 24" xfId="80"/>
    <cellStyle name="Error 3" xfId="81"/>
    <cellStyle name="Footnote 1" xfId="82"/>
    <cellStyle name="Footnote 10" xfId="83"/>
    <cellStyle name="Footnote 11" xfId="84"/>
    <cellStyle name="Footnote 12" xfId="85"/>
    <cellStyle name="Footnote 14" xfId="86"/>
    <cellStyle name="Footnote 15" xfId="87"/>
    <cellStyle name="Footnote 16" xfId="88"/>
    <cellStyle name="Footnote 17" xfId="89"/>
    <cellStyle name="Footnote 5" xfId="90"/>
    <cellStyle name="Footnote 6" xfId="91"/>
    <cellStyle name="Footnote 7" xfId="92"/>
    <cellStyle name="Footnote 8" xfId="93"/>
    <cellStyle name="Footnote 9" xfId="94"/>
    <cellStyle name="Good 1" xfId="95"/>
    <cellStyle name="Good 10" xfId="96"/>
    <cellStyle name="Good 11" xfId="97"/>
    <cellStyle name="Good 12" xfId="98"/>
    <cellStyle name="Good 13" xfId="99"/>
    <cellStyle name="Good 14" xfId="100"/>
    <cellStyle name="Good 15" xfId="101"/>
    <cellStyle name="Good 17" xfId="102"/>
    <cellStyle name="Good 18" xfId="103"/>
    <cellStyle name="Good 19" xfId="104"/>
    <cellStyle name="Good 20" xfId="105"/>
    <cellStyle name="Good 8" xfId="106"/>
    <cellStyle name="Good 9" xfId="107"/>
    <cellStyle name="Heading 1 1" xfId="108"/>
    <cellStyle name="Heading 1 10" xfId="109"/>
    <cellStyle name="Heading 1 11" xfId="110"/>
    <cellStyle name="Heading 1 12" xfId="111"/>
    <cellStyle name="Heading 1 13" xfId="112"/>
    <cellStyle name="Heading 1 2" xfId="113"/>
    <cellStyle name="Heading 1 3" xfId="114"/>
    <cellStyle name="Heading 1 4" xfId="115"/>
    <cellStyle name="Heading 1 5" xfId="116"/>
    <cellStyle name="Heading 1 6" xfId="117"/>
    <cellStyle name="Heading 1 7" xfId="118"/>
    <cellStyle name="Heading 1 8" xfId="119"/>
    <cellStyle name="Heading 1 9" xfId="120"/>
    <cellStyle name="Heading 2 1" xfId="121"/>
    <cellStyle name="Heading 2 11" xfId="122"/>
    <cellStyle name="Heading 2 12" xfId="123"/>
    <cellStyle name="Heading 2 13" xfId="124"/>
    <cellStyle name="Heading 2 14" xfId="125"/>
    <cellStyle name="Heading 2 2" xfId="126"/>
    <cellStyle name="Heading 2 3" xfId="127"/>
    <cellStyle name="Heading 2 4" xfId="128"/>
    <cellStyle name="Heading 2 5" xfId="129"/>
    <cellStyle name="Heading 2 6" xfId="130"/>
    <cellStyle name="Heading 2 7" xfId="131"/>
    <cellStyle name="Heading 2 8" xfId="132"/>
    <cellStyle name="Heading 2 9" xfId="133"/>
    <cellStyle name="Heading 3" xfId="134"/>
    <cellStyle name="Hyperlink 1" xfId="135"/>
    <cellStyle name="Hyperlink 10" xfId="136"/>
    <cellStyle name="Hyperlink 11" xfId="137"/>
    <cellStyle name="Hyperlink 12" xfId="138"/>
    <cellStyle name="Hyperlink 13" xfId="139"/>
    <cellStyle name="Hyperlink 15" xfId="140"/>
    <cellStyle name="Hyperlink 16" xfId="141"/>
    <cellStyle name="Hyperlink 17" xfId="142"/>
    <cellStyle name="Hyperlink 18" xfId="143"/>
    <cellStyle name="Hyperlink 6" xfId="144"/>
    <cellStyle name="Hyperlink 7" xfId="145"/>
    <cellStyle name="Hyperlink 8" xfId="146"/>
    <cellStyle name="Hyperlink 9" xfId="147"/>
    <cellStyle name="Neutral 1" xfId="148"/>
    <cellStyle name="Neutral 10" xfId="149"/>
    <cellStyle name="Neutral 11" xfId="150"/>
    <cellStyle name="Neutral 12" xfId="151"/>
    <cellStyle name="Neutral 13" xfId="152"/>
    <cellStyle name="Neutral 14" xfId="153"/>
    <cellStyle name="Neutral 15" xfId="154"/>
    <cellStyle name="Neutral 16" xfId="155"/>
    <cellStyle name="Neutral 18" xfId="156"/>
    <cellStyle name="Neutral 19" xfId="157"/>
    <cellStyle name="Neutral 20" xfId="158"/>
    <cellStyle name="Neutral 21" xfId="159"/>
    <cellStyle name="Neutral 9" xfId="160"/>
    <cellStyle name="Normal" xfId="0" builtinId="0"/>
    <cellStyle name="Note 1" xfId="161"/>
    <cellStyle name="Note 10" xfId="162"/>
    <cellStyle name="Note 11" xfId="163"/>
    <cellStyle name="Note 13" xfId="164"/>
    <cellStyle name="Note 14" xfId="165"/>
    <cellStyle name="Note 15" xfId="166"/>
    <cellStyle name="Note 16" xfId="167"/>
    <cellStyle name="Note 4" xfId="168"/>
    <cellStyle name="Note 5" xfId="169"/>
    <cellStyle name="Note 6" xfId="170"/>
    <cellStyle name="Note 7" xfId="171"/>
    <cellStyle name="Note 8" xfId="172"/>
    <cellStyle name="Note 9" xfId="173"/>
    <cellStyle name="Sin título1" xfId="174"/>
    <cellStyle name="Status 1" xfId="175"/>
    <cellStyle name="Status 10" xfId="176"/>
    <cellStyle name="Status 11" xfId="177"/>
    <cellStyle name="Status 12" xfId="178"/>
    <cellStyle name="Status 13" xfId="179"/>
    <cellStyle name="Status 14" xfId="180"/>
    <cellStyle name="Status 16" xfId="181"/>
    <cellStyle name="Status 17" xfId="182"/>
    <cellStyle name="Status 18" xfId="183"/>
    <cellStyle name="Status 19" xfId="184"/>
    <cellStyle name="Status 7" xfId="185"/>
    <cellStyle name="Status 8" xfId="186"/>
    <cellStyle name="Status 9" xfId="187"/>
    <cellStyle name="Text 1" xfId="188"/>
    <cellStyle name="Text 10" xfId="189"/>
    <cellStyle name="Text 12" xfId="190"/>
    <cellStyle name="Text 13" xfId="191"/>
    <cellStyle name="Text 14" xfId="192"/>
    <cellStyle name="Text 15" xfId="193"/>
    <cellStyle name="Text 3" xfId="194"/>
    <cellStyle name="Text 4" xfId="195"/>
    <cellStyle name="Text 5" xfId="196"/>
    <cellStyle name="Text 6" xfId="197"/>
    <cellStyle name="Text 7" xfId="198"/>
    <cellStyle name="Text 8" xfId="199"/>
    <cellStyle name="Text 9" xfId="200"/>
    <cellStyle name="Warning 1" xfId="201"/>
    <cellStyle name="Warning 11" xfId="202"/>
    <cellStyle name="Warning 12" xfId="203"/>
    <cellStyle name="Warning 13" xfId="204"/>
    <cellStyle name="Warning 14" xfId="205"/>
    <cellStyle name="Warning 15" xfId="206"/>
    <cellStyle name="Warning 16" xfId="207"/>
    <cellStyle name="Warning 17" xfId="208"/>
    <cellStyle name="Warning 18" xfId="209"/>
    <cellStyle name="Warning 20" xfId="210"/>
    <cellStyle name="Warning 21" xfId="211"/>
    <cellStyle name="Warning 22" xfId="212"/>
    <cellStyle name="Warning 23" xfId="2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P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Hoja5!$B$64</c:f>
              <c:strCache>
                <c:ptCount val="1"/>
                <c:pt idx="0">
                  <c:v>TOTAL MALA IGUALACIÓN</c:v>
                </c:pt>
              </c:strCache>
            </c:strRef>
          </c:tx>
          <c:invertIfNegative val="0"/>
          <c:cat>
            <c:strRef>
              <c:f>Hoja5!$C$63:$I$63</c:f>
              <c:strCache>
                <c:ptCount val="7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</c:strCache>
            </c:strRef>
          </c:cat>
          <c:val>
            <c:numRef>
              <c:f>Hoja5!$C$64:$I$64</c:f>
              <c:numCache>
                <c:formatCode>#,##0.0</c:formatCode>
                <c:ptCount val="7"/>
                <c:pt idx="0">
                  <c:v>1051.95</c:v>
                </c:pt>
                <c:pt idx="1">
                  <c:v>7612.9500000000007</c:v>
                </c:pt>
                <c:pt idx="2">
                  <c:v>3195.0999999999995</c:v>
                </c:pt>
                <c:pt idx="3">
                  <c:v>5358.3399999999992</c:v>
                </c:pt>
                <c:pt idx="4">
                  <c:v>4439.8600000000006</c:v>
                </c:pt>
                <c:pt idx="5">
                  <c:v>14417.11</c:v>
                </c:pt>
                <c:pt idx="6">
                  <c:v>25717.96</c:v>
                </c:pt>
              </c:numCache>
            </c:numRef>
          </c:val>
        </c:ser>
        <c:ser>
          <c:idx val="1"/>
          <c:order val="1"/>
          <c:tx>
            <c:strRef>
              <c:f>Hoja5!$B$65</c:f>
              <c:strCache>
                <c:ptCount val="1"/>
                <c:pt idx="0">
                  <c:v>TOTAL FUERA DE TONO</c:v>
                </c:pt>
              </c:strCache>
            </c:strRef>
          </c:tx>
          <c:invertIfNegative val="0"/>
          <c:cat>
            <c:strRef>
              <c:f>Hoja5!$C$63:$I$63</c:f>
              <c:strCache>
                <c:ptCount val="7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</c:strCache>
            </c:strRef>
          </c:cat>
          <c:val>
            <c:numRef>
              <c:f>Hoja5!$C$65:$I$65</c:f>
              <c:numCache>
                <c:formatCode>#,##0.0</c:formatCode>
                <c:ptCount val="7"/>
                <c:pt idx="0">
                  <c:v>13119.84</c:v>
                </c:pt>
                <c:pt idx="1">
                  <c:v>14013.75</c:v>
                </c:pt>
                <c:pt idx="2">
                  <c:v>15390.15</c:v>
                </c:pt>
                <c:pt idx="3">
                  <c:v>15618.45</c:v>
                </c:pt>
                <c:pt idx="4">
                  <c:v>18014.36</c:v>
                </c:pt>
                <c:pt idx="5">
                  <c:v>21861.7</c:v>
                </c:pt>
                <c:pt idx="6">
                  <c:v>20633.499999999989</c:v>
                </c:pt>
              </c:numCache>
            </c:numRef>
          </c:val>
        </c:ser>
        <c:ser>
          <c:idx val="2"/>
          <c:order val="2"/>
          <c:tx>
            <c:strRef>
              <c:f>Hoja5!$B$66</c:f>
              <c:strCache>
                <c:ptCount val="1"/>
                <c:pt idx="0">
                  <c:v>TOTAL MANCHAS</c:v>
                </c:pt>
              </c:strCache>
            </c:strRef>
          </c:tx>
          <c:invertIfNegative val="0"/>
          <c:cat>
            <c:strRef>
              <c:f>Hoja5!$C$63:$I$63</c:f>
              <c:strCache>
                <c:ptCount val="7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</c:strCache>
            </c:strRef>
          </c:cat>
          <c:val>
            <c:numRef>
              <c:f>Hoja5!$C$66:$I$66</c:f>
              <c:numCache>
                <c:formatCode>#,##0.0</c:formatCode>
                <c:ptCount val="7"/>
                <c:pt idx="0">
                  <c:v>0</c:v>
                </c:pt>
                <c:pt idx="1">
                  <c:v>500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3"/>
          <c:order val="3"/>
          <c:tx>
            <c:strRef>
              <c:f>Hoja5!$B$67</c:f>
              <c:strCache>
                <c:ptCount val="1"/>
                <c:pt idx="0">
                  <c:v>TOTAL MIGRACIÓN</c:v>
                </c:pt>
              </c:strCache>
            </c:strRef>
          </c:tx>
          <c:invertIfNegative val="0"/>
          <c:cat>
            <c:strRef>
              <c:f>Hoja5!$C$63:$I$63</c:f>
              <c:strCache>
                <c:ptCount val="7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</c:strCache>
            </c:strRef>
          </c:cat>
          <c:val>
            <c:numRef>
              <c:f>Hoja5!$C$67:$I$67</c:f>
              <c:numCache>
                <c:formatCode>#,##0.0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489</c:v>
                </c:pt>
                <c:pt idx="6">
                  <c:v>502.25</c:v>
                </c:pt>
              </c:numCache>
            </c:numRef>
          </c:val>
        </c:ser>
        <c:ser>
          <c:idx val="4"/>
          <c:order val="4"/>
          <c:tx>
            <c:strRef>
              <c:f>Hoja5!$B$68</c:f>
              <c:strCache>
                <c:ptCount val="1"/>
                <c:pt idx="0">
                  <c:v>TOTAL QUEBRADURAS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</c:spPr>
          <c:invertIfNegative val="0"/>
          <c:cat>
            <c:strRef>
              <c:f>Hoja5!$C$63:$I$63</c:f>
              <c:strCache>
                <c:ptCount val="7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</c:strCache>
            </c:strRef>
          </c:cat>
          <c:val>
            <c:numRef>
              <c:f>Hoja5!$C$68:$I$68</c:f>
              <c:numCache>
                <c:formatCode>#,##0.0</c:formatCode>
                <c:ptCount val="7"/>
                <c:pt idx="0">
                  <c:v>522</c:v>
                </c:pt>
                <c:pt idx="1">
                  <c:v>0</c:v>
                </c:pt>
                <c:pt idx="2">
                  <c:v>630.35</c:v>
                </c:pt>
                <c:pt idx="3">
                  <c:v>8645.4500000000007</c:v>
                </c:pt>
                <c:pt idx="4">
                  <c:v>4802.25</c:v>
                </c:pt>
                <c:pt idx="5">
                  <c:v>5784.0999999999995</c:v>
                </c:pt>
                <c:pt idx="6">
                  <c:v>8354.4000000000015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323405824"/>
        <c:axId val="259833152"/>
      </c:barChart>
      <c:catAx>
        <c:axId val="323405824"/>
        <c:scaling>
          <c:orientation val="minMax"/>
        </c:scaling>
        <c:delete val="0"/>
        <c:axPos val="b"/>
        <c:majorTickMark val="none"/>
        <c:minorTickMark val="none"/>
        <c:tickLblPos val="nextTo"/>
        <c:crossAx val="259833152"/>
        <c:crosses val="autoZero"/>
        <c:auto val="1"/>
        <c:lblAlgn val="ctr"/>
        <c:lblOffset val="100"/>
        <c:noMultiLvlLbl val="0"/>
      </c:catAx>
      <c:valAx>
        <c:axId val="259833152"/>
        <c:scaling>
          <c:orientation val="minMax"/>
        </c:scaling>
        <c:delete val="0"/>
        <c:axPos val="l"/>
        <c:majorGridlines/>
        <c:title>
          <c:layout/>
          <c:overlay val="0"/>
        </c:title>
        <c:numFmt formatCode="#,##0.0" sourceLinked="1"/>
        <c:majorTickMark val="none"/>
        <c:minorTickMark val="none"/>
        <c:tickLblPos val="nextTo"/>
        <c:crossAx val="323405824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69</xdr:row>
      <xdr:rowOff>123825</xdr:rowOff>
    </xdr:from>
    <xdr:to>
      <xdr:col>9</xdr:col>
      <xdr:colOff>66675</xdr:colOff>
      <xdr:row>90</xdr:row>
      <xdr:rowOff>161925</xdr:rowOff>
    </xdr:to>
    <xdr:graphicFrame macro="">
      <xdr:nvGraphicFramePr>
        <xdr:cNvPr id="2" name="1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2"/>
  <sheetViews>
    <sheetView tabSelected="1" topLeftCell="A25" workbookViewId="0">
      <selection activeCell="F50" sqref="F50"/>
    </sheetView>
  </sheetViews>
  <sheetFormatPr baseColWidth="10" defaultRowHeight="14.25" x14ac:dyDescent="0.2"/>
  <cols>
    <col min="1" max="1" width="39.375" customWidth="1"/>
    <col min="2" max="2" width="14.75" customWidth="1"/>
    <col min="3" max="3" width="3.25" customWidth="1"/>
    <col min="4" max="4" width="35" customWidth="1"/>
    <col min="5" max="5" width="31.125" customWidth="1"/>
  </cols>
  <sheetData>
    <row r="1" spans="1:5" x14ac:dyDescent="0.2">
      <c r="A1" t="s">
        <v>0</v>
      </c>
    </row>
    <row r="2" spans="1:5" ht="15" x14ac:dyDescent="0.25">
      <c r="A2" s="1" t="s">
        <v>1</v>
      </c>
      <c r="B2" s="1" t="s">
        <v>2</v>
      </c>
      <c r="C2" s="1"/>
      <c r="D2" t="s">
        <v>3</v>
      </c>
    </row>
    <row r="3" spans="1:5" ht="15" x14ac:dyDescent="0.25">
      <c r="A3" s="2" t="s">
        <v>4</v>
      </c>
      <c r="B3" s="3">
        <v>1341.4</v>
      </c>
      <c r="C3" s="3"/>
      <c r="D3" s="1" t="s">
        <v>1</v>
      </c>
      <c r="E3" s="1" t="s">
        <v>2</v>
      </c>
    </row>
    <row r="4" spans="1:5" x14ac:dyDescent="0.2">
      <c r="A4" s="2" t="s">
        <v>5</v>
      </c>
      <c r="B4" s="3">
        <v>10</v>
      </c>
      <c r="C4" s="3"/>
      <c r="D4" s="2" t="s">
        <v>4</v>
      </c>
      <c r="E4" s="3">
        <v>2166.8499999999995</v>
      </c>
    </row>
    <row r="5" spans="1:5" x14ac:dyDescent="0.2">
      <c r="A5" s="2" t="s">
        <v>6</v>
      </c>
      <c r="B5" s="3">
        <v>465.6</v>
      </c>
      <c r="C5" s="3"/>
      <c r="D5" s="2" t="s">
        <v>7</v>
      </c>
      <c r="E5" s="3">
        <v>400</v>
      </c>
    </row>
    <row r="6" spans="1:5" x14ac:dyDescent="0.2">
      <c r="A6" s="2" t="s">
        <v>8</v>
      </c>
      <c r="B6" s="3">
        <v>240</v>
      </c>
      <c r="C6" s="3"/>
      <c r="D6" s="2" t="s">
        <v>9</v>
      </c>
      <c r="E6" s="3">
        <v>25</v>
      </c>
    </row>
    <row r="7" spans="1:5" x14ac:dyDescent="0.2">
      <c r="A7" s="2" t="s">
        <v>10</v>
      </c>
      <c r="B7" s="3">
        <v>340</v>
      </c>
      <c r="C7" s="3"/>
      <c r="D7" s="2" t="s">
        <v>11</v>
      </c>
      <c r="E7" s="3">
        <v>20.8</v>
      </c>
    </row>
    <row r="8" spans="1:5" x14ac:dyDescent="0.2">
      <c r="A8" s="2" t="s">
        <v>12</v>
      </c>
      <c r="B8" s="3">
        <v>48.13</v>
      </c>
      <c r="C8" s="3"/>
      <c r="D8" s="2" t="s">
        <v>10</v>
      </c>
      <c r="E8" s="3">
        <v>380</v>
      </c>
    </row>
    <row r="9" spans="1:5" x14ac:dyDescent="0.2">
      <c r="A9" s="2" t="s">
        <v>13</v>
      </c>
      <c r="B9" s="3">
        <v>20</v>
      </c>
      <c r="C9" s="3"/>
      <c r="D9" s="2" t="s">
        <v>14</v>
      </c>
      <c r="E9" s="3">
        <v>607</v>
      </c>
    </row>
    <row r="10" spans="1:5" x14ac:dyDescent="0.2">
      <c r="A10" s="2" t="s">
        <v>15</v>
      </c>
      <c r="B10" s="3">
        <v>721.95</v>
      </c>
      <c r="C10" s="3"/>
      <c r="D10" s="2" t="s">
        <v>16</v>
      </c>
      <c r="E10" s="3">
        <v>440.6</v>
      </c>
    </row>
    <row r="11" spans="1:5" x14ac:dyDescent="0.2">
      <c r="A11" s="2" t="s">
        <v>17</v>
      </c>
      <c r="B11" s="3">
        <v>522</v>
      </c>
      <c r="C11" s="3"/>
      <c r="D11" s="2" t="s">
        <v>18</v>
      </c>
      <c r="E11" s="3">
        <v>180</v>
      </c>
    </row>
    <row r="12" spans="1:5" x14ac:dyDescent="0.2">
      <c r="A12" s="2" t="s">
        <v>19</v>
      </c>
      <c r="B12" s="3">
        <v>29.2</v>
      </c>
      <c r="C12" s="3"/>
      <c r="D12" s="2" t="s">
        <v>20</v>
      </c>
      <c r="E12" s="3">
        <v>975</v>
      </c>
    </row>
    <row r="13" spans="1:5" x14ac:dyDescent="0.2">
      <c r="A13" s="2" t="s">
        <v>21</v>
      </c>
      <c r="B13" s="3">
        <v>65.459999999999994</v>
      </c>
      <c r="C13" s="3"/>
      <c r="D13" s="2" t="s">
        <v>22</v>
      </c>
      <c r="E13" s="3">
        <v>34</v>
      </c>
    </row>
    <row r="14" spans="1:5" x14ac:dyDescent="0.2">
      <c r="A14" s="2" t="s">
        <v>23</v>
      </c>
      <c r="B14" s="3">
        <v>27</v>
      </c>
      <c r="C14" s="3"/>
      <c r="D14" s="2" t="s">
        <v>24</v>
      </c>
      <c r="E14" s="3">
        <v>443.6</v>
      </c>
    </row>
    <row r="15" spans="1:5" x14ac:dyDescent="0.2">
      <c r="A15" s="2" t="s">
        <v>25</v>
      </c>
      <c r="B15" s="3">
        <v>11904.45</v>
      </c>
      <c r="C15" s="3"/>
      <c r="D15" s="2" t="s">
        <v>26</v>
      </c>
      <c r="E15" s="3">
        <v>357</v>
      </c>
    </row>
    <row r="16" spans="1:5" x14ac:dyDescent="0.2">
      <c r="A16" s="2" t="s">
        <v>27</v>
      </c>
      <c r="B16" s="3">
        <v>300</v>
      </c>
      <c r="C16" s="3"/>
      <c r="D16" s="2" t="s">
        <v>28</v>
      </c>
      <c r="E16" s="3">
        <v>900.8</v>
      </c>
    </row>
    <row r="17" spans="1:5" ht="15" x14ac:dyDescent="0.25">
      <c r="A17" s="4" t="s">
        <v>29</v>
      </c>
      <c r="B17" s="5">
        <v>16035.19</v>
      </c>
      <c r="C17" s="5"/>
      <c r="D17" s="2" t="s">
        <v>30</v>
      </c>
      <c r="E17" s="3">
        <v>615.79999999999995</v>
      </c>
    </row>
    <row r="18" spans="1:5" x14ac:dyDescent="0.2">
      <c r="D18" s="2" t="s">
        <v>12</v>
      </c>
      <c r="E18" s="3">
        <v>1241.8</v>
      </c>
    </row>
    <row r="19" spans="1:5" x14ac:dyDescent="0.2">
      <c r="A19" s="2" t="s">
        <v>31</v>
      </c>
      <c r="D19" s="2" t="s">
        <v>15</v>
      </c>
      <c r="E19" s="3">
        <v>793.1</v>
      </c>
    </row>
    <row r="20" spans="1:5" ht="15" x14ac:dyDescent="0.25">
      <c r="A20" s="1" t="s">
        <v>1</v>
      </c>
      <c r="B20" s="1" t="s">
        <v>2</v>
      </c>
      <c r="D20" s="2" t="s">
        <v>17</v>
      </c>
      <c r="E20" s="3">
        <v>8203.4500000000007</v>
      </c>
    </row>
    <row r="21" spans="1:5" x14ac:dyDescent="0.2">
      <c r="A21" s="2" t="s">
        <v>4</v>
      </c>
      <c r="B21" s="3">
        <v>1552.1</v>
      </c>
      <c r="D21" s="2" t="s">
        <v>32</v>
      </c>
      <c r="E21" s="3">
        <v>442</v>
      </c>
    </row>
    <row r="22" spans="1:5" x14ac:dyDescent="0.2">
      <c r="A22" s="2" t="s">
        <v>28</v>
      </c>
      <c r="B22" s="3">
        <v>721.4</v>
      </c>
      <c r="D22" s="2" t="s">
        <v>33</v>
      </c>
      <c r="E22" s="3">
        <v>269</v>
      </c>
    </row>
    <row r="23" spans="1:5" x14ac:dyDescent="0.2">
      <c r="A23" s="2" t="s">
        <v>12</v>
      </c>
      <c r="B23" s="3">
        <v>632</v>
      </c>
      <c r="D23" s="2" t="s">
        <v>34</v>
      </c>
      <c r="E23" s="3">
        <v>14.5</v>
      </c>
    </row>
    <row r="24" spans="1:5" x14ac:dyDescent="0.2">
      <c r="A24" s="2" t="s">
        <v>35</v>
      </c>
      <c r="B24" s="3">
        <v>403.65000000000003</v>
      </c>
      <c r="D24" s="2" t="s">
        <v>21</v>
      </c>
      <c r="E24" s="3">
        <v>143.85</v>
      </c>
    </row>
    <row r="25" spans="1:5" x14ac:dyDescent="0.2">
      <c r="A25" s="2" t="s">
        <v>15</v>
      </c>
      <c r="B25" s="3">
        <v>5600.85</v>
      </c>
      <c r="D25" s="2" t="s">
        <v>25</v>
      </c>
      <c r="E25" s="3">
        <v>9068.6999999999989</v>
      </c>
    </row>
    <row r="26" spans="1:5" x14ac:dyDescent="0.2">
      <c r="A26" s="2" t="s">
        <v>36</v>
      </c>
      <c r="B26" s="3">
        <v>500</v>
      </c>
      <c r="D26" s="2" t="s">
        <v>37</v>
      </c>
      <c r="E26" s="3">
        <v>375</v>
      </c>
    </row>
    <row r="27" spans="1:5" x14ac:dyDescent="0.2">
      <c r="A27" s="2" t="s">
        <v>38</v>
      </c>
      <c r="B27" s="3">
        <v>192.3</v>
      </c>
      <c r="D27" s="2" t="s">
        <v>27</v>
      </c>
      <c r="E27" s="3">
        <v>1793.39</v>
      </c>
    </row>
    <row r="28" spans="1:5" ht="15" x14ac:dyDescent="0.25">
      <c r="A28" s="2" t="s">
        <v>21</v>
      </c>
      <c r="B28" s="3">
        <v>82.95</v>
      </c>
      <c r="D28" s="4" t="s">
        <v>29</v>
      </c>
      <c r="E28" s="5">
        <v>29891.239999999998</v>
      </c>
    </row>
    <row r="29" spans="1:5" x14ac:dyDescent="0.2">
      <c r="A29" s="2" t="s">
        <v>39</v>
      </c>
      <c r="B29" s="3">
        <v>82.95</v>
      </c>
    </row>
    <row r="30" spans="1:5" x14ac:dyDescent="0.2">
      <c r="A30" s="2" t="s">
        <v>25</v>
      </c>
      <c r="B30" s="3">
        <v>10244.700000000001</v>
      </c>
    </row>
    <row r="31" spans="1:5" x14ac:dyDescent="0.2">
      <c r="A31" s="2" t="s">
        <v>37</v>
      </c>
      <c r="B31" s="3">
        <v>453.8</v>
      </c>
      <c r="D31" t="s">
        <v>40</v>
      </c>
    </row>
    <row r="32" spans="1:5" ht="15" x14ac:dyDescent="0.25">
      <c r="A32" s="2" t="s">
        <v>41</v>
      </c>
      <c r="B32" s="3">
        <v>674</v>
      </c>
      <c r="D32" s="1" t="s">
        <v>1</v>
      </c>
      <c r="E32" s="1" t="s">
        <v>2</v>
      </c>
    </row>
    <row r="33" spans="1:5" x14ac:dyDescent="0.2">
      <c r="A33" s="2" t="s">
        <v>42</v>
      </c>
      <c r="B33" s="3">
        <v>526</v>
      </c>
      <c r="D33" s="2" t="s">
        <v>4</v>
      </c>
      <c r="E33" s="3">
        <v>488.05</v>
      </c>
    </row>
    <row r="34" spans="1:5" x14ac:dyDescent="0.2">
      <c r="A34" s="2" t="s">
        <v>27</v>
      </c>
      <c r="B34" s="3">
        <v>460</v>
      </c>
      <c r="D34" s="2" t="s">
        <v>43</v>
      </c>
      <c r="E34" s="3">
        <v>10</v>
      </c>
    </row>
    <row r="35" spans="1:5" ht="15" x14ac:dyDescent="0.25">
      <c r="A35" s="4" t="s">
        <v>29</v>
      </c>
      <c r="B35" s="5">
        <v>22126.7</v>
      </c>
      <c r="D35" s="2" t="s">
        <v>44</v>
      </c>
      <c r="E35" s="3">
        <v>477.65</v>
      </c>
    </row>
    <row r="36" spans="1:5" x14ac:dyDescent="0.2">
      <c r="D36" s="2" t="s">
        <v>7</v>
      </c>
      <c r="E36" s="3">
        <v>777.09999999999991</v>
      </c>
    </row>
    <row r="37" spans="1:5" x14ac:dyDescent="0.2">
      <c r="A37" t="s">
        <v>45</v>
      </c>
      <c r="D37" s="2" t="s">
        <v>46</v>
      </c>
      <c r="E37" s="3">
        <v>517.16</v>
      </c>
    </row>
    <row r="38" spans="1:5" x14ac:dyDescent="0.2">
      <c r="A38" t="s">
        <v>1</v>
      </c>
      <c r="B38" t="s">
        <v>2</v>
      </c>
      <c r="D38" s="2" t="s">
        <v>14</v>
      </c>
      <c r="E38" s="3">
        <v>580</v>
      </c>
    </row>
    <row r="39" spans="1:5" x14ac:dyDescent="0.2">
      <c r="A39" s="2" t="s">
        <v>4</v>
      </c>
      <c r="B39" s="3">
        <v>892.24999999999989</v>
      </c>
      <c r="D39" s="2" t="s">
        <v>47</v>
      </c>
      <c r="E39" s="3">
        <v>538</v>
      </c>
    </row>
    <row r="40" spans="1:5" x14ac:dyDescent="0.2">
      <c r="A40" s="2" t="s">
        <v>9</v>
      </c>
      <c r="B40" s="3">
        <v>20</v>
      </c>
      <c r="D40" s="2" t="s">
        <v>15</v>
      </c>
      <c r="E40" s="3">
        <v>643</v>
      </c>
    </row>
    <row r="41" spans="1:5" x14ac:dyDescent="0.2">
      <c r="A41" s="2" t="s">
        <v>48</v>
      </c>
      <c r="B41" s="3">
        <v>374.2</v>
      </c>
      <c r="D41" s="2" t="s">
        <v>17</v>
      </c>
      <c r="E41" s="3">
        <v>4802.25</v>
      </c>
    </row>
    <row r="42" spans="1:5" x14ac:dyDescent="0.2">
      <c r="A42" s="2" t="s">
        <v>15</v>
      </c>
      <c r="B42" s="3">
        <v>1017.6</v>
      </c>
      <c r="D42" s="2" t="s">
        <v>33</v>
      </c>
      <c r="E42" s="3">
        <v>114.4</v>
      </c>
    </row>
    <row r="43" spans="1:5" x14ac:dyDescent="0.2">
      <c r="A43" s="2" t="s">
        <v>49</v>
      </c>
      <c r="B43" s="3">
        <v>517.04999999999995</v>
      </c>
      <c r="D43" s="2" t="s">
        <v>50</v>
      </c>
      <c r="E43" s="3">
        <v>538</v>
      </c>
    </row>
    <row r="44" spans="1:5" x14ac:dyDescent="0.2">
      <c r="A44" s="2" t="s">
        <v>17</v>
      </c>
      <c r="B44" s="3">
        <v>136.30000000000001</v>
      </c>
      <c r="D44" s="2" t="s">
        <v>21</v>
      </c>
      <c r="E44" s="3">
        <v>231.04999999999998</v>
      </c>
    </row>
    <row r="45" spans="1:5" x14ac:dyDescent="0.2">
      <c r="A45" s="2" t="s">
        <v>51</v>
      </c>
      <c r="B45" s="3">
        <v>494.05</v>
      </c>
      <c r="D45" s="2" t="s">
        <v>52</v>
      </c>
      <c r="E45" s="3">
        <v>489</v>
      </c>
    </row>
    <row r="46" spans="1:5" x14ac:dyDescent="0.2">
      <c r="A46" s="2" t="s">
        <v>21</v>
      </c>
      <c r="B46" s="3">
        <v>290</v>
      </c>
      <c r="D46" s="2" t="s">
        <v>23</v>
      </c>
      <c r="E46" s="3">
        <v>723</v>
      </c>
    </row>
    <row r="47" spans="1:5" x14ac:dyDescent="0.2">
      <c r="A47" s="2" t="s">
        <v>25</v>
      </c>
      <c r="B47" s="3">
        <v>14726.15</v>
      </c>
      <c r="D47" s="2" t="s">
        <v>25</v>
      </c>
      <c r="E47" s="3">
        <v>14915.31</v>
      </c>
    </row>
    <row r="48" spans="1:5" x14ac:dyDescent="0.2">
      <c r="A48" s="2" t="s">
        <v>42</v>
      </c>
      <c r="B48" s="3">
        <v>374</v>
      </c>
      <c r="D48" s="2" t="s">
        <v>27</v>
      </c>
      <c r="E48" s="3">
        <v>1526.9</v>
      </c>
    </row>
    <row r="49" spans="1:5" ht="15" x14ac:dyDescent="0.25">
      <c r="A49" s="2" t="s">
        <v>27</v>
      </c>
      <c r="B49" s="3">
        <v>374</v>
      </c>
      <c r="D49" s="4" t="s">
        <v>29</v>
      </c>
      <c r="E49" s="5">
        <v>27370.87</v>
      </c>
    </row>
    <row r="50" spans="1:5" ht="15" x14ac:dyDescent="0.25">
      <c r="A50" s="4" t="s">
        <v>29</v>
      </c>
      <c r="B50" s="5">
        <v>19215.599999999999</v>
      </c>
    </row>
    <row r="53" spans="1:5" x14ac:dyDescent="0.2">
      <c r="A53" s="2" t="s">
        <v>53</v>
      </c>
    </row>
    <row r="54" spans="1:5" ht="15" x14ac:dyDescent="0.25">
      <c r="A54" s="1" t="s">
        <v>1</v>
      </c>
      <c r="B54" s="1" t="s">
        <v>2</v>
      </c>
      <c r="D54" s="1" t="s">
        <v>1</v>
      </c>
      <c r="E54" s="1" t="s">
        <v>2</v>
      </c>
    </row>
    <row r="55" spans="1:5" x14ac:dyDescent="0.2">
      <c r="A55" s="2" t="s">
        <v>4</v>
      </c>
      <c r="B55" s="3">
        <v>5316.9000000000005</v>
      </c>
      <c r="D55" s="2" t="s">
        <v>4</v>
      </c>
      <c r="E55" s="3">
        <v>3941.5</v>
      </c>
    </row>
    <row r="56" spans="1:5" x14ac:dyDescent="0.2">
      <c r="A56" s="2" t="s">
        <v>54</v>
      </c>
      <c r="B56" s="3">
        <v>554</v>
      </c>
      <c r="D56" s="2" t="s">
        <v>43</v>
      </c>
      <c r="E56" s="3">
        <v>1073.75</v>
      </c>
    </row>
    <row r="57" spans="1:5" x14ac:dyDescent="0.2">
      <c r="A57" s="2" t="s">
        <v>7</v>
      </c>
      <c r="B57" s="3">
        <v>470</v>
      </c>
      <c r="D57" s="2" t="s">
        <v>54</v>
      </c>
      <c r="E57" s="3">
        <v>2113.1999999999998</v>
      </c>
    </row>
    <row r="58" spans="1:5" x14ac:dyDescent="0.2">
      <c r="A58" s="2" t="s">
        <v>55</v>
      </c>
      <c r="B58" s="3">
        <v>73.599999999999994</v>
      </c>
      <c r="D58" s="2" t="s">
        <v>7</v>
      </c>
      <c r="E58" s="3">
        <v>215.25</v>
      </c>
    </row>
    <row r="59" spans="1:5" x14ac:dyDescent="0.2">
      <c r="A59" s="2" t="s">
        <v>10</v>
      </c>
      <c r="B59" s="3">
        <v>1147.95</v>
      </c>
      <c r="D59" s="2" t="s">
        <v>10</v>
      </c>
      <c r="E59" s="3">
        <v>1117</v>
      </c>
    </row>
    <row r="60" spans="1:5" x14ac:dyDescent="0.2">
      <c r="A60" s="2" t="s">
        <v>56</v>
      </c>
      <c r="B60" s="3">
        <v>580</v>
      </c>
      <c r="D60" s="2" t="s">
        <v>15</v>
      </c>
      <c r="E60" s="3">
        <v>9526.86</v>
      </c>
    </row>
    <row r="61" spans="1:5" x14ac:dyDescent="0.2">
      <c r="A61" s="2" t="s">
        <v>57</v>
      </c>
      <c r="B61" s="3">
        <v>405.8</v>
      </c>
      <c r="D61" s="2" t="s">
        <v>58</v>
      </c>
      <c r="E61" s="3">
        <v>502.25</v>
      </c>
    </row>
    <row r="62" spans="1:5" x14ac:dyDescent="0.2">
      <c r="A62" s="2" t="s">
        <v>28</v>
      </c>
      <c r="B62" s="3">
        <v>1187.0999999999999</v>
      </c>
      <c r="D62" s="2" t="s">
        <v>17</v>
      </c>
      <c r="E62" s="3">
        <v>8354.4000000000015</v>
      </c>
    </row>
    <row r="63" spans="1:5" x14ac:dyDescent="0.2">
      <c r="A63" s="2" t="s">
        <v>59</v>
      </c>
      <c r="B63" s="3">
        <v>294</v>
      </c>
      <c r="D63" s="2" t="s">
        <v>19</v>
      </c>
      <c r="E63" s="3">
        <v>33.1</v>
      </c>
    </row>
    <row r="64" spans="1:5" x14ac:dyDescent="0.2">
      <c r="A64" s="2" t="s">
        <v>60</v>
      </c>
      <c r="B64" s="3">
        <v>88</v>
      </c>
      <c r="D64" s="2" t="s">
        <v>21</v>
      </c>
      <c r="E64" s="3">
        <v>213</v>
      </c>
    </row>
    <row r="65" spans="1:5" x14ac:dyDescent="0.2">
      <c r="A65" s="2" t="s">
        <v>15</v>
      </c>
      <c r="B65" s="3">
        <v>4600.3999999999996</v>
      </c>
      <c r="D65" s="2" t="s">
        <v>52</v>
      </c>
      <c r="E65" s="3">
        <v>153</v>
      </c>
    </row>
    <row r="66" spans="1:5" x14ac:dyDescent="0.2">
      <c r="A66" s="2" t="s">
        <v>58</v>
      </c>
      <c r="B66" s="3">
        <v>489</v>
      </c>
      <c r="D66" s="2" t="s">
        <v>25</v>
      </c>
      <c r="E66" s="3">
        <v>19090.399999999994</v>
      </c>
    </row>
    <row r="67" spans="1:5" x14ac:dyDescent="0.2">
      <c r="A67" s="2" t="s">
        <v>17</v>
      </c>
      <c r="B67" s="3">
        <v>5784.0999999999995</v>
      </c>
      <c r="D67" s="2" t="s">
        <v>61</v>
      </c>
      <c r="E67" s="3">
        <v>27</v>
      </c>
    </row>
    <row r="68" spans="1:5" x14ac:dyDescent="0.2">
      <c r="A68" s="2" t="s">
        <v>52</v>
      </c>
      <c r="B68" s="3">
        <v>732.95</v>
      </c>
      <c r="D68" s="2" t="s">
        <v>27</v>
      </c>
      <c r="E68" s="3">
        <v>8847.4</v>
      </c>
    </row>
    <row r="69" spans="1:5" ht="15" x14ac:dyDescent="0.25">
      <c r="A69" s="2" t="s">
        <v>25</v>
      </c>
      <c r="B69" s="3">
        <v>16855.900000000001</v>
      </c>
      <c r="D69" s="4" t="s">
        <v>29</v>
      </c>
      <c r="E69" s="5">
        <v>55208.109999999993</v>
      </c>
    </row>
    <row r="70" spans="1:5" x14ac:dyDescent="0.2">
      <c r="A70" s="2" t="s">
        <v>37</v>
      </c>
      <c r="B70" s="3">
        <v>570</v>
      </c>
    </row>
    <row r="71" spans="1:5" x14ac:dyDescent="0.2">
      <c r="A71" s="2" t="s">
        <v>27</v>
      </c>
      <c r="B71" s="3">
        <v>3402.2099999999996</v>
      </c>
    </row>
    <row r="72" spans="1:5" ht="15" x14ac:dyDescent="0.25">
      <c r="A72" s="4" t="s">
        <v>29</v>
      </c>
      <c r="B72" s="5">
        <v>42551.909999999996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8"/>
  <sheetViews>
    <sheetView topLeftCell="A68" workbookViewId="0">
      <selection activeCell="J86" sqref="J86"/>
    </sheetView>
  </sheetViews>
  <sheetFormatPr baseColWidth="10" defaultRowHeight="15" x14ac:dyDescent="0.25"/>
  <cols>
    <col min="1" max="1" width="20.5" style="48" customWidth="1"/>
    <col min="2" max="2" width="41.5" customWidth="1"/>
  </cols>
  <sheetData>
    <row r="1" spans="1:9" ht="15.75" thickBot="1" x14ac:dyDescent="0.3">
      <c r="A1" s="35" t="s">
        <v>64</v>
      </c>
      <c r="B1" s="9" t="s">
        <v>72</v>
      </c>
      <c r="C1" s="9" t="s">
        <v>65</v>
      </c>
      <c r="D1" s="9" t="s">
        <v>66</v>
      </c>
      <c r="E1" s="9" t="s">
        <v>67</v>
      </c>
      <c r="F1" s="9" t="s">
        <v>68</v>
      </c>
      <c r="G1" s="9" t="s">
        <v>69</v>
      </c>
      <c r="H1" s="9" t="s">
        <v>70</v>
      </c>
      <c r="I1" s="9" t="s">
        <v>71</v>
      </c>
    </row>
    <row r="2" spans="1:9" ht="14.25" customHeight="1" x14ac:dyDescent="0.2">
      <c r="A2" s="40" t="s">
        <v>73</v>
      </c>
      <c r="B2" s="11" t="s">
        <v>4</v>
      </c>
      <c r="C2" s="18">
        <v>10</v>
      </c>
      <c r="D2" s="18">
        <v>1552.1</v>
      </c>
      <c r="E2" s="18">
        <v>892.24999999999989</v>
      </c>
      <c r="F2" s="18">
        <v>2166.849999999999</v>
      </c>
      <c r="G2" s="18">
        <v>488.05</v>
      </c>
      <c r="H2" s="18">
        <v>5316.9000000000005</v>
      </c>
      <c r="I2" s="19">
        <v>3941.5</v>
      </c>
    </row>
    <row r="3" spans="1:9" ht="14.25" x14ac:dyDescent="0.2">
      <c r="A3" s="41"/>
      <c r="B3" s="6" t="s">
        <v>9</v>
      </c>
      <c r="C3" s="20"/>
      <c r="D3" s="20"/>
      <c r="E3" s="20">
        <v>20</v>
      </c>
      <c r="F3" s="20">
        <v>25</v>
      </c>
      <c r="G3" s="20"/>
      <c r="H3" s="20"/>
      <c r="I3" s="21"/>
    </row>
    <row r="4" spans="1:9" ht="14.25" x14ac:dyDescent="0.2">
      <c r="A4" s="41"/>
      <c r="B4" s="6" t="s">
        <v>43</v>
      </c>
      <c r="C4" s="20"/>
      <c r="D4" s="20"/>
      <c r="E4" s="20"/>
      <c r="F4" s="20"/>
      <c r="G4" s="20">
        <v>10</v>
      </c>
      <c r="H4" s="20"/>
      <c r="I4" s="21">
        <v>1073.75</v>
      </c>
    </row>
    <row r="5" spans="1:9" ht="14.25" x14ac:dyDescent="0.2">
      <c r="A5" s="41"/>
      <c r="B5" s="6" t="s">
        <v>63</v>
      </c>
      <c r="C5" s="20"/>
      <c r="D5" s="20"/>
      <c r="E5" s="20"/>
      <c r="F5" s="20"/>
      <c r="G5" s="20"/>
      <c r="H5" s="20">
        <v>554</v>
      </c>
      <c r="I5" s="21">
        <v>2113.1999999999998</v>
      </c>
    </row>
    <row r="6" spans="1:9" ht="14.25" x14ac:dyDescent="0.2">
      <c r="A6" s="41"/>
      <c r="B6" s="6" t="s">
        <v>44</v>
      </c>
      <c r="C6" s="20"/>
      <c r="D6" s="20"/>
      <c r="E6" s="20"/>
      <c r="F6" s="20"/>
      <c r="G6" s="20">
        <v>477.65</v>
      </c>
      <c r="H6" s="20"/>
      <c r="I6" s="21"/>
    </row>
    <row r="7" spans="1:9" ht="14.25" x14ac:dyDescent="0.2">
      <c r="A7" s="41"/>
      <c r="B7" s="6" t="s">
        <v>7</v>
      </c>
      <c r="C7" s="20"/>
      <c r="D7" s="20"/>
      <c r="E7" s="20"/>
      <c r="F7" s="20">
        <v>400</v>
      </c>
      <c r="G7" s="20">
        <v>777.09999999999991</v>
      </c>
      <c r="H7" s="20">
        <v>470</v>
      </c>
      <c r="I7" s="21">
        <v>215.25</v>
      </c>
    </row>
    <row r="8" spans="1:9" ht="14.25" x14ac:dyDescent="0.2">
      <c r="A8" s="41"/>
      <c r="B8" s="6" t="s">
        <v>46</v>
      </c>
      <c r="C8" s="20"/>
      <c r="D8" s="20"/>
      <c r="E8" s="20"/>
      <c r="F8" s="20"/>
      <c r="G8" s="20">
        <v>517.16</v>
      </c>
      <c r="H8" s="20"/>
      <c r="I8" s="21"/>
    </row>
    <row r="9" spans="1:9" ht="14.25" x14ac:dyDescent="0.2">
      <c r="A9" s="41"/>
      <c r="B9" s="6" t="s">
        <v>55</v>
      </c>
      <c r="C9" s="20"/>
      <c r="D9" s="20"/>
      <c r="E9" s="20"/>
      <c r="F9" s="20"/>
      <c r="G9" s="20"/>
      <c r="H9" s="20">
        <v>73.599999999999994</v>
      </c>
      <c r="I9" s="21"/>
    </row>
    <row r="10" spans="1:9" ht="14.25" x14ac:dyDescent="0.2">
      <c r="A10" s="41"/>
      <c r="B10" s="6" t="s">
        <v>48</v>
      </c>
      <c r="C10" s="20"/>
      <c r="D10" s="20"/>
      <c r="E10" s="20">
        <v>374.2</v>
      </c>
      <c r="F10" s="20"/>
      <c r="G10" s="20"/>
      <c r="H10" s="20"/>
      <c r="I10" s="21"/>
    </row>
    <row r="11" spans="1:9" ht="14.25" x14ac:dyDescent="0.2">
      <c r="A11" s="41"/>
      <c r="B11" s="6" t="s">
        <v>18</v>
      </c>
      <c r="C11" s="20"/>
      <c r="D11" s="20"/>
      <c r="E11" s="20"/>
      <c r="F11" s="20">
        <v>180</v>
      </c>
      <c r="G11" s="20"/>
      <c r="H11" s="20"/>
      <c r="I11" s="21"/>
    </row>
    <row r="12" spans="1:9" ht="14.25" x14ac:dyDescent="0.2">
      <c r="A12" s="41"/>
      <c r="B12" s="6" t="s">
        <v>27</v>
      </c>
      <c r="C12" s="20">
        <v>300</v>
      </c>
      <c r="D12" s="20">
        <v>460</v>
      </c>
      <c r="E12" s="20">
        <v>374</v>
      </c>
      <c r="F12" s="20">
        <v>1793.39</v>
      </c>
      <c r="G12" s="20">
        <v>1526.9</v>
      </c>
      <c r="H12" s="20">
        <v>3402.21</v>
      </c>
      <c r="I12" s="21">
        <v>8847.4</v>
      </c>
    </row>
    <row r="13" spans="1:9" ht="14.25" x14ac:dyDescent="0.2">
      <c r="A13" s="41"/>
      <c r="B13" s="6" t="s">
        <v>15</v>
      </c>
      <c r="C13" s="20">
        <v>721.95</v>
      </c>
      <c r="D13" s="20">
        <v>5600.85</v>
      </c>
      <c r="E13" s="20">
        <v>1017.6</v>
      </c>
      <c r="F13" s="20">
        <v>793.1</v>
      </c>
      <c r="G13" s="20">
        <v>643</v>
      </c>
      <c r="H13" s="20">
        <v>4600.3999999999996</v>
      </c>
      <c r="I13" s="21">
        <v>9526.86</v>
      </c>
    </row>
    <row r="14" spans="1:9" ht="14.25" x14ac:dyDescent="0.2">
      <c r="A14" s="41"/>
      <c r="B14" s="6" t="s">
        <v>13</v>
      </c>
      <c r="C14" s="20">
        <v>20</v>
      </c>
      <c r="D14" s="20"/>
      <c r="E14" s="20"/>
      <c r="F14" s="20"/>
      <c r="G14" s="20"/>
      <c r="H14" s="20"/>
      <c r="I14" s="20"/>
    </row>
    <row r="15" spans="1:9" thickBot="1" x14ac:dyDescent="0.25">
      <c r="A15" s="42"/>
      <c r="B15" s="12" t="s">
        <v>49</v>
      </c>
      <c r="C15" s="22"/>
      <c r="D15" s="22"/>
      <c r="E15" s="22">
        <v>517.04999999999995</v>
      </c>
      <c r="F15" s="22"/>
      <c r="G15" s="22"/>
      <c r="H15" s="22"/>
      <c r="I15" s="23"/>
    </row>
    <row r="16" spans="1:9" ht="15.75" thickBot="1" x14ac:dyDescent="0.3">
      <c r="A16" s="43"/>
      <c r="B16" s="14" t="s">
        <v>80</v>
      </c>
      <c r="C16" s="24">
        <f>SUM(C2:C15)</f>
        <v>1051.95</v>
      </c>
      <c r="D16" s="24">
        <f t="shared" ref="D16:I16" si="0">SUM(D2:D15)</f>
        <v>7612.9500000000007</v>
      </c>
      <c r="E16" s="24">
        <f t="shared" si="0"/>
        <v>3195.0999999999995</v>
      </c>
      <c r="F16" s="24">
        <f t="shared" si="0"/>
        <v>5358.3399999999992</v>
      </c>
      <c r="G16" s="24">
        <f t="shared" si="0"/>
        <v>4439.8600000000006</v>
      </c>
      <c r="H16" s="24">
        <f t="shared" si="0"/>
        <v>14417.11</v>
      </c>
      <c r="I16" s="25">
        <f t="shared" si="0"/>
        <v>25717.96</v>
      </c>
    </row>
    <row r="17" spans="1:9" ht="14.25" x14ac:dyDescent="0.2">
      <c r="A17" s="37" t="s">
        <v>77</v>
      </c>
      <c r="B17" s="10" t="s">
        <v>62</v>
      </c>
      <c r="C17" s="26">
        <v>465.6</v>
      </c>
      <c r="D17" s="26"/>
      <c r="E17" s="26"/>
      <c r="F17" s="26"/>
      <c r="G17" s="26"/>
      <c r="H17" s="26"/>
      <c r="I17" s="26"/>
    </row>
    <row r="18" spans="1:9" ht="14.25" x14ac:dyDescent="0.2">
      <c r="A18" s="37"/>
      <c r="B18" s="6" t="s">
        <v>11</v>
      </c>
      <c r="C18" s="20"/>
      <c r="D18" s="20"/>
      <c r="E18" s="20"/>
      <c r="F18" s="20">
        <v>20.8</v>
      </c>
      <c r="G18" s="20"/>
      <c r="H18" s="20"/>
      <c r="I18" s="20"/>
    </row>
    <row r="19" spans="1:9" ht="14.25" x14ac:dyDescent="0.2">
      <c r="A19" s="37"/>
      <c r="B19" s="6" t="s">
        <v>8</v>
      </c>
      <c r="C19" s="20">
        <v>240</v>
      </c>
      <c r="D19" s="20"/>
      <c r="E19" s="20"/>
      <c r="F19" s="20"/>
      <c r="G19" s="20"/>
      <c r="H19" s="20"/>
      <c r="I19" s="20"/>
    </row>
    <row r="20" spans="1:9" ht="14.25" x14ac:dyDescent="0.2">
      <c r="A20" s="37"/>
      <c r="B20" s="6" t="s">
        <v>10</v>
      </c>
      <c r="C20" s="20">
        <v>340</v>
      </c>
      <c r="D20" s="20"/>
      <c r="E20" s="20"/>
      <c r="F20" s="20">
        <v>380</v>
      </c>
      <c r="G20" s="20"/>
      <c r="H20" s="20">
        <v>1147.95</v>
      </c>
      <c r="I20" s="20">
        <v>1117</v>
      </c>
    </row>
    <row r="21" spans="1:9" ht="14.25" x14ac:dyDescent="0.2">
      <c r="A21" s="37"/>
      <c r="B21" s="6" t="s">
        <v>56</v>
      </c>
      <c r="C21" s="20"/>
      <c r="D21" s="20"/>
      <c r="E21" s="20"/>
      <c r="F21" s="20"/>
      <c r="G21" s="20"/>
      <c r="H21" s="20">
        <v>580</v>
      </c>
      <c r="I21" s="20"/>
    </row>
    <row r="22" spans="1:9" ht="14.25" x14ac:dyDescent="0.2">
      <c r="A22" s="37"/>
      <c r="B22" s="6" t="s">
        <v>14</v>
      </c>
      <c r="C22" s="20"/>
      <c r="D22" s="20"/>
      <c r="E22" s="20"/>
      <c r="F22" s="20">
        <v>607</v>
      </c>
      <c r="G22" s="20">
        <v>580</v>
      </c>
      <c r="H22" s="20"/>
      <c r="I22" s="20"/>
    </row>
    <row r="23" spans="1:9" ht="14.25" x14ac:dyDescent="0.2">
      <c r="A23" s="37"/>
      <c r="B23" s="6" t="s">
        <v>16</v>
      </c>
      <c r="C23" s="20"/>
      <c r="D23" s="20"/>
      <c r="E23" s="20"/>
      <c r="F23" s="20">
        <v>440.6</v>
      </c>
      <c r="G23" s="20"/>
      <c r="H23" s="20"/>
      <c r="I23" s="20"/>
    </row>
    <row r="24" spans="1:9" ht="14.25" x14ac:dyDescent="0.2">
      <c r="A24" s="37"/>
      <c r="B24" s="6" t="s">
        <v>20</v>
      </c>
      <c r="C24" s="20"/>
      <c r="D24" s="20"/>
      <c r="E24" s="20"/>
      <c r="F24" s="20">
        <v>975</v>
      </c>
      <c r="G24" s="20"/>
      <c r="H24" s="20"/>
      <c r="I24" s="20"/>
    </row>
    <row r="25" spans="1:9" ht="14.25" x14ac:dyDescent="0.2">
      <c r="A25" s="37"/>
      <c r="B25" s="6" t="s">
        <v>57</v>
      </c>
      <c r="C25" s="20"/>
      <c r="D25" s="20"/>
      <c r="E25" s="20"/>
      <c r="F25" s="20"/>
      <c r="G25" s="20"/>
      <c r="H25" s="20">
        <v>405.8</v>
      </c>
      <c r="I25" s="20"/>
    </row>
    <row r="26" spans="1:9" ht="14.25" x14ac:dyDescent="0.2">
      <c r="A26" s="37"/>
      <c r="B26" s="6" t="s">
        <v>22</v>
      </c>
      <c r="C26" s="20"/>
      <c r="D26" s="20"/>
      <c r="E26" s="20"/>
      <c r="F26" s="20">
        <v>34</v>
      </c>
      <c r="G26" s="20"/>
      <c r="H26" s="20"/>
      <c r="I26" s="20"/>
    </row>
    <row r="27" spans="1:9" ht="14.25" x14ac:dyDescent="0.2">
      <c r="A27" s="37"/>
      <c r="B27" s="6" t="s">
        <v>24</v>
      </c>
      <c r="C27" s="20"/>
      <c r="D27" s="20"/>
      <c r="E27" s="20"/>
      <c r="F27" s="20">
        <v>443.6</v>
      </c>
      <c r="G27" s="20"/>
      <c r="H27" s="20"/>
      <c r="I27" s="20"/>
    </row>
    <row r="28" spans="1:9" ht="14.25" x14ac:dyDescent="0.2">
      <c r="A28" s="37"/>
      <c r="B28" s="6" t="s">
        <v>47</v>
      </c>
      <c r="C28" s="20"/>
      <c r="D28" s="20"/>
      <c r="E28" s="20"/>
      <c r="F28" s="20"/>
      <c r="G28" s="20">
        <v>538</v>
      </c>
      <c r="H28" s="20"/>
      <c r="I28" s="20"/>
    </row>
    <row r="29" spans="1:9" ht="14.25" x14ac:dyDescent="0.2">
      <c r="A29" s="37"/>
      <c r="B29" s="6" t="s">
        <v>26</v>
      </c>
      <c r="C29" s="20"/>
      <c r="D29" s="20"/>
      <c r="E29" s="20"/>
      <c r="F29" s="20">
        <v>357</v>
      </c>
      <c r="G29" s="20"/>
      <c r="H29" s="20"/>
      <c r="I29" s="20"/>
    </row>
    <row r="30" spans="1:9" ht="14.25" x14ac:dyDescent="0.2">
      <c r="A30" s="37"/>
      <c r="B30" s="6" t="s">
        <v>28</v>
      </c>
      <c r="C30" s="20"/>
      <c r="D30" s="20">
        <v>721.4</v>
      </c>
      <c r="E30" s="20"/>
      <c r="F30" s="20">
        <v>900.8</v>
      </c>
      <c r="G30" s="20"/>
      <c r="H30" s="20">
        <v>1187.0999999999999</v>
      </c>
      <c r="I30" s="20"/>
    </row>
    <row r="31" spans="1:9" ht="14.25" x14ac:dyDescent="0.2">
      <c r="A31" s="37"/>
      <c r="B31" s="6" t="s">
        <v>30</v>
      </c>
      <c r="C31" s="20"/>
      <c r="D31" s="20"/>
      <c r="E31" s="20"/>
      <c r="F31" s="20">
        <v>615.79999999999995</v>
      </c>
      <c r="G31" s="20"/>
      <c r="H31" s="20"/>
      <c r="I31" s="20"/>
    </row>
    <row r="32" spans="1:9" ht="14.25" x14ac:dyDescent="0.2">
      <c r="A32" s="37"/>
      <c r="B32" s="6" t="s">
        <v>59</v>
      </c>
      <c r="C32" s="20"/>
      <c r="D32" s="20"/>
      <c r="E32" s="20"/>
      <c r="F32" s="20"/>
      <c r="G32" s="20"/>
      <c r="H32" s="20">
        <v>294</v>
      </c>
      <c r="I32" s="20"/>
    </row>
    <row r="33" spans="1:9" ht="14.25" x14ac:dyDescent="0.2">
      <c r="A33" s="37"/>
      <c r="B33" s="6" t="s">
        <v>60</v>
      </c>
      <c r="C33" s="20"/>
      <c r="D33" s="20"/>
      <c r="E33" s="20"/>
      <c r="F33" s="20"/>
      <c r="G33" s="20"/>
      <c r="H33" s="20">
        <v>88</v>
      </c>
      <c r="I33" s="20"/>
    </row>
    <row r="34" spans="1:9" ht="14.25" x14ac:dyDescent="0.2">
      <c r="A34" s="37"/>
      <c r="B34" s="6" t="s">
        <v>12</v>
      </c>
      <c r="C34" s="20">
        <v>48.13</v>
      </c>
      <c r="D34" s="20">
        <v>632</v>
      </c>
      <c r="E34" s="20"/>
      <c r="F34" s="20">
        <v>1241.8</v>
      </c>
      <c r="G34" s="20"/>
      <c r="H34" s="20"/>
      <c r="I34" s="20"/>
    </row>
    <row r="35" spans="1:9" ht="14.25" x14ac:dyDescent="0.2">
      <c r="A35" s="37"/>
      <c r="B35" s="6" t="s">
        <v>35</v>
      </c>
      <c r="C35" s="20"/>
      <c r="D35" s="20">
        <v>403.65</v>
      </c>
      <c r="E35" s="20"/>
      <c r="F35" s="20"/>
      <c r="G35" s="20"/>
      <c r="H35" s="20"/>
      <c r="I35" s="20"/>
    </row>
    <row r="36" spans="1:9" ht="14.25" x14ac:dyDescent="0.2">
      <c r="A36" s="37"/>
      <c r="B36" s="6" t="s">
        <v>34</v>
      </c>
      <c r="C36" s="20"/>
      <c r="D36" s="20"/>
      <c r="E36" s="20"/>
      <c r="F36" s="20">
        <v>14.5</v>
      </c>
      <c r="G36" s="20"/>
      <c r="H36" s="20"/>
      <c r="I36" s="20"/>
    </row>
    <row r="37" spans="1:9" ht="14.25" x14ac:dyDescent="0.2">
      <c r="A37" s="37"/>
      <c r="B37" s="6" t="s">
        <v>19</v>
      </c>
      <c r="C37" s="20">
        <v>29.2</v>
      </c>
      <c r="D37" s="20"/>
      <c r="E37" s="20"/>
      <c r="F37" s="20"/>
      <c r="G37" s="20"/>
      <c r="H37" s="20"/>
      <c r="I37" s="20">
        <v>33.1</v>
      </c>
    </row>
    <row r="38" spans="1:9" ht="14.25" x14ac:dyDescent="0.2">
      <c r="A38" s="37"/>
      <c r="B38" s="6" t="s">
        <v>50</v>
      </c>
      <c r="C38" s="20"/>
      <c r="D38" s="20"/>
      <c r="E38" s="20"/>
      <c r="F38" s="20"/>
      <c r="G38" s="20">
        <v>538</v>
      </c>
      <c r="H38" s="20"/>
      <c r="I38" s="20"/>
    </row>
    <row r="39" spans="1:9" ht="14.25" x14ac:dyDescent="0.2">
      <c r="A39" s="37"/>
      <c r="B39" s="6" t="s">
        <v>38</v>
      </c>
      <c r="C39" s="20"/>
      <c r="D39" s="20">
        <v>192.3</v>
      </c>
      <c r="E39" s="20"/>
      <c r="F39" s="20"/>
      <c r="G39" s="20"/>
      <c r="H39" s="20"/>
      <c r="I39" s="20"/>
    </row>
    <row r="40" spans="1:9" ht="14.25" x14ac:dyDescent="0.2">
      <c r="A40" s="37"/>
      <c r="B40" s="6" t="s">
        <v>21</v>
      </c>
      <c r="C40" s="20">
        <v>65.459999999999994</v>
      </c>
      <c r="D40" s="20">
        <v>82.95</v>
      </c>
      <c r="E40" s="20">
        <v>290</v>
      </c>
      <c r="F40" s="20">
        <v>143.85</v>
      </c>
      <c r="G40" s="20">
        <v>231.05</v>
      </c>
      <c r="H40" s="20"/>
      <c r="I40" s="20">
        <v>213</v>
      </c>
    </row>
    <row r="41" spans="1:9" ht="14.25" x14ac:dyDescent="0.2">
      <c r="A41" s="37"/>
      <c r="B41" s="6" t="s">
        <v>39</v>
      </c>
      <c r="C41" s="20"/>
      <c r="D41" s="20">
        <v>82.95</v>
      </c>
      <c r="E41" s="20"/>
      <c r="F41" s="20"/>
      <c r="G41" s="20"/>
      <c r="H41" s="20"/>
      <c r="I41" s="20"/>
    </row>
    <row r="42" spans="1:9" ht="14.25" x14ac:dyDescent="0.2">
      <c r="A42" s="37"/>
      <c r="B42" s="6" t="s">
        <v>52</v>
      </c>
      <c r="C42" s="20"/>
      <c r="D42" s="20"/>
      <c r="E42" s="20"/>
      <c r="F42" s="20"/>
      <c r="G42" s="20">
        <v>489</v>
      </c>
      <c r="H42" s="20">
        <v>732.95</v>
      </c>
      <c r="I42" s="20">
        <v>153</v>
      </c>
    </row>
    <row r="43" spans="1:9" ht="14.25" x14ac:dyDescent="0.2">
      <c r="A43" s="37"/>
      <c r="B43" s="6" t="s">
        <v>23</v>
      </c>
      <c r="C43" s="20">
        <v>27</v>
      </c>
      <c r="D43" s="20"/>
      <c r="E43" s="20"/>
      <c r="F43" s="20"/>
      <c r="G43" s="20">
        <v>723</v>
      </c>
      <c r="H43" s="20"/>
      <c r="I43" s="20"/>
    </row>
    <row r="44" spans="1:9" ht="14.25" x14ac:dyDescent="0.2">
      <c r="A44" s="37"/>
      <c r="B44" s="6" t="s">
        <v>25</v>
      </c>
      <c r="C44" s="20">
        <v>11904.45</v>
      </c>
      <c r="D44" s="20">
        <v>10244.700000000001</v>
      </c>
      <c r="E44" s="20">
        <v>14726.15</v>
      </c>
      <c r="F44" s="20">
        <v>9068.6999999999989</v>
      </c>
      <c r="G44" s="20">
        <v>14915.31</v>
      </c>
      <c r="H44" s="20">
        <v>16855.900000000001</v>
      </c>
      <c r="I44" s="20">
        <v>19090.399999999991</v>
      </c>
    </row>
    <row r="45" spans="1:9" ht="14.25" x14ac:dyDescent="0.2">
      <c r="A45" s="37"/>
      <c r="B45" s="6" t="s">
        <v>61</v>
      </c>
      <c r="C45" s="20"/>
      <c r="D45" s="20"/>
      <c r="E45" s="20"/>
      <c r="F45" s="20"/>
      <c r="G45" s="20"/>
      <c r="H45" s="20"/>
      <c r="I45" s="20">
        <v>27</v>
      </c>
    </row>
    <row r="46" spans="1:9" ht="14.25" x14ac:dyDescent="0.2">
      <c r="A46" s="37"/>
      <c r="B46" s="6" t="s">
        <v>37</v>
      </c>
      <c r="C46" s="20"/>
      <c r="D46" s="20">
        <v>453.8</v>
      </c>
      <c r="E46" s="20"/>
      <c r="F46" s="20">
        <v>375</v>
      </c>
      <c r="G46" s="20"/>
      <c r="H46" s="20">
        <v>570</v>
      </c>
      <c r="I46" s="20"/>
    </row>
    <row r="47" spans="1:9" ht="14.25" x14ac:dyDescent="0.2">
      <c r="A47" s="37"/>
      <c r="B47" s="6" t="s">
        <v>41</v>
      </c>
      <c r="C47" s="20"/>
      <c r="D47" s="20">
        <v>674</v>
      </c>
      <c r="E47" s="20"/>
      <c r="F47" s="20"/>
      <c r="G47" s="20"/>
      <c r="H47" s="20"/>
      <c r="I47" s="20"/>
    </row>
    <row r="48" spans="1:9" thickBot="1" x14ac:dyDescent="0.25">
      <c r="A48" s="37"/>
      <c r="B48" s="13" t="s">
        <v>42</v>
      </c>
      <c r="C48" s="27"/>
      <c r="D48" s="27">
        <v>526</v>
      </c>
      <c r="E48" s="27">
        <v>374</v>
      </c>
      <c r="F48" s="27"/>
      <c r="G48" s="27"/>
      <c r="H48" s="27"/>
      <c r="I48" s="27"/>
    </row>
    <row r="49" spans="1:9" ht="15.75" thickBot="1" x14ac:dyDescent="0.3">
      <c r="A49" s="44"/>
      <c r="B49" s="16" t="s">
        <v>81</v>
      </c>
      <c r="C49" s="28">
        <f>SUM(C17:C48)</f>
        <v>13119.84</v>
      </c>
      <c r="D49" s="28">
        <f t="shared" ref="D49:I49" si="1">SUM(D17:D48)</f>
        <v>14013.75</v>
      </c>
      <c r="E49" s="28">
        <f t="shared" si="1"/>
        <v>15390.15</v>
      </c>
      <c r="F49" s="28">
        <f t="shared" si="1"/>
        <v>15618.45</v>
      </c>
      <c r="G49" s="28">
        <f t="shared" si="1"/>
        <v>18014.36</v>
      </c>
      <c r="H49" s="28">
        <f t="shared" si="1"/>
        <v>21861.7</v>
      </c>
      <c r="I49" s="29">
        <f t="shared" si="1"/>
        <v>20633.499999999989</v>
      </c>
    </row>
    <row r="50" spans="1:9" x14ac:dyDescent="0.25">
      <c r="A50" s="45" t="s">
        <v>76</v>
      </c>
      <c r="B50" s="10" t="s">
        <v>36</v>
      </c>
      <c r="C50" s="26"/>
      <c r="D50" s="26">
        <v>500</v>
      </c>
      <c r="E50" s="26"/>
      <c r="F50" s="26"/>
      <c r="G50" s="26"/>
      <c r="H50" s="26"/>
      <c r="I50" s="26"/>
    </row>
    <row r="51" spans="1:9" x14ac:dyDescent="0.25">
      <c r="A51" s="45"/>
      <c r="B51" s="45" t="s">
        <v>82</v>
      </c>
      <c r="C51" s="26">
        <f>SUM(C50)</f>
        <v>0</v>
      </c>
      <c r="D51" s="30">
        <f t="shared" ref="D51:I51" si="2">SUM(D50)</f>
        <v>500</v>
      </c>
      <c r="E51" s="26">
        <f t="shared" si="2"/>
        <v>0</v>
      </c>
      <c r="F51" s="26">
        <f t="shared" si="2"/>
        <v>0</v>
      </c>
      <c r="G51" s="26">
        <f t="shared" si="2"/>
        <v>0</v>
      </c>
      <c r="H51" s="26">
        <f t="shared" si="2"/>
        <v>0</v>
      </c>
      <c r="I51" s="26">
        <f t="shared" si="2"/>
        <v>0</v>
      </c>
    </row>
    <row r="52" spans="1:9" x14ac:dyDescent="0.25">
      <c r="A52" s="46" t="s">
        <v>75</v>
      </c>
      <c r="B52" s="6" t="s">
        <v>58</v>
      </c>
      <c r="C52" s="20"/>
      <c r="D52" s="20"/>
      <c r="E52" s="20"/>
      <c r="F52" s="20"/>
      <c r="G52" s="20"/>
      <c r="H52" s="20">
        <v>489</v>
      </c>
      <c r="I52" s="20">
        <v>502.25</v>
      </c>
    </row>
    <row r="53" spans="1:9" x14ac:dyDescent="0.25">
      <c r="A53" s="47"/>
      <c r="B53" s="47" t="s">
        <v>83</v>
      </c>
      <c r="C53" s="31">
        <f>SUM(C52)</f>
        <v>0</v>
      </c>
      <c r="D53" s="31">
        <f t="shared" ref="D53:I53" si="3">SUM(D52)</f>
        <v>0</v>
      </c>
      <c r="E53" s="31">
        <f t="shared" si="3"/>
        <v>0</v>
      </c>
      <c r="F53" s="31">
        <f t="shared" si="3"/>
        <v>0</v>
      </c>
      <c r="G53" s="31">
        <f t="shared" si="3"/>
        <v>0</v>
      </c>
      <c r="H53" s="31">
        <f t="shared" si="3"/>
        <v>489</v>
      </c>
      <c r="I53" s="31">
        <f t="shared" si="3"/>
        <v>502.25</v>
      </c>
    </row>
    <row r="54" spans="1:9" ht="14.25" x14ac:dyDescent="0.2">
      <c r="A54" s="36" t="s">
        <v>74</v>
      </c>
      <c r="B54" s="6" t="s">
        <v>17</v>
      </c>
      <c r="C54" s="20">
        <v>522</v>
      </c>
      <c r="D54" s="20"/>
      <c r="E54" s="20">
        <v>136.30000000000001</v>
      </c>
      <c r="F54" s="20">
        <v>8203.4500000000007</v>
      </c>
      <c r="G54" s="20">
        <v>4802.25</v>
      </c>
      <c r="H54" s="20">
        <v>5784.0999999999995</v>
      </c>
      <c r="I54" s="20">
        <v>8354.4000000000015</v>
      </c>
    </row>
    <row r="55" spans="1:9" ht="14.25" x14ac:dyDescent="0.2">
      <c r="A55" s="37"/>
      <c r="B55" s="6" t="s">
        <v>51</v>
      </c>
      <c r="C55" s="20"/>
      <c r="D55" s="20"/>
      <c r="E55" s="20">
        <v>494.05</v>
      </c>
      <c r="F55" s="20"/>
      <c r="G55" s="20"/>
      <c r="H55" s="20"/>
      <c r="I55" s="20"/>
    </row>
    <row r="56" spans="1:9" ht="14.25" x14ac:dyDescent="0.2">
      <c r="A56" s="38"/>
      <c r="B56" s="6" t="s">
        <v>32</v>
      </c>
      <c r="C56" s="20"/>
      <c r="D56" s="20"/>
      <c r="E56" s="20"/>
      <c r="F56" s="20">
        <v>442</v>
      </c>
      <c r="G56" s="20"/>
      <c r="H56" s="20"/>
      <c r="I56" s="20"/>
    </row>
    <row r="57" spans="1:9" ht="15.75" thickBot="1" x14ac:dyDescent="0.3">
      <c r="B57" s="17" t="s">
        <v>79</v>
      </c>
      <c r="C57" s="32">
        <f>SUM(C54:C56)</f>
        <v>522</v>
      </c>
      <c r="D57" s="32">
        <f t="shared" ref="D57:I57" si="4">SUM(D54:D56)</f>
        <v>0</v>
      </c>
      <c r="E57" s="32">
        <f t="shared" si="4"/>
        <v>630.35</v>
      </c>
      <c r="F57" s="32">
        <f t="shared" si="4"/>
        <v>8645.4500000000007</v>
      </c>
      <c r="G57" s="32">
        <f t="shared" si="4"/>
        <v>4802.25</v>
      </c>
      <c r="H57" s="32">
        <f t="shared" si="4"/>
        <v>5784.0999999999995</v>
      </c>
      <c r="I57" s="32">
        <f t="shared" si="4"/>
        <v>8354.4000000000015</v>
      </c>
    </row>
    <row r="58" spans="1:9" ht="15.75" thickBot="1" x14ac:dyDescent="0.3">
      <c r="A58" s="39"/>
      <c r="B58" s="15" t="s">
        <v>78</v>
      </c>
      <c r="C58" s="33">
        <f>C16+C49+C53+C57+C51</f>
        <v>14693.79</v>
      </c>
      <c r="D58" s="33">
        <f t="shared" ref="D58:I58" si="5">D16+D49+D53+D57+D51</f>
        <v>22126.7</v>
      </c>
      <c r="E58" s="33">
        <f t="shared" si="5"/>
        <v>19215.599999999999</v>
      </c>
      <c r="F58" s="33">
        <f t="shared" si="5"/>
        <v>29622.240000000002</v>
      </c>
      <c r="G58" s="33">
        <f t="shared" si="5"/>
        <v>27256.47</v>
      </c>
      <c r="H58" s="33">
        <f t="shared" si="5"/>
        <v>42551.909999999996</v>
      </c>
      <c r="I58" s="34">
        <f t="shared" si="5"/>
        <v>55208.109999999993</v>
      </c>
    </row>
    <row r="63" spans="1:9" x14ac:dyDescent="0.25">
      <c r="A63"/>
      <c r="B63" s="8" t="s">
        <v>64</v>
      </c>
      <c r="C63" s="8" t="s">
        <v>65</v>
      </c>
      <c r="D63" s="8" t="s">
        <v>66</v>
      </c>
      <c r="E63" s="8" t="s">
        <v>67</v>
      </c>
      <c r="F63" s="8" t="s">
        <v>68</v>
      </c>
      <c r="G63" s="8" t="s">
        <v>69</v>
      </c>
      <c r="H63" s="8" t="s">
        <v>70</v>
      </c>
      <c r="I63" s="8" t="s">
        <v>71</v>
      </c>
    </row>
    <row r="64" spans="1:9" x14ac:dyDescent="0.25">
      <c r="B64" s="7" t="s">
        <v>80</v>
      </c>
      <c r="C64" s="31">
        <v>1051.95</v>
      </c>
      <c r="D64" s="31">
        <v>7612.9500000000007</v>
      </c>
      <c r="E64" s="31">
        <v>3195.0999999999995</v>
      </c>
      <c r="F64" s="31">
        <v>5358.3399999999992</v>
      </c>
      <c r="G64" s="31">
        <v>4439.8600000000006</v>
      </c>
      <c r="H64" s="31">
        <v>14417.11</v>
      </c>
      <c r="I64" s="31">
        <v>25717.96</v>
      </c>
    </row>
    <row r="65" spans="2:9" x14ac:dyDescent="0.25">
      <c r="B65" s="49" t="s">
        <v>81</v>
      </c>
      <c r="C65" s="50">
        <v>13119.84</v>
      </c>
      <c r="D65" s="50">
        <v>14013.75</v>
      </c>
      <c r="E65" s="50">
        <v>15390.15</v>
      </c>
      <c r="F65" s="50">
        <v>15618.45</v>
      </c>
      <c r="G65" s="50">
        <v>18014.36</v>
      </c>
      <c r="H65" s="50">
        <v>21861.7</v>
      </c>
      <c r="I65" s="50">
        <v>20633.499999999989</v>
      </c>
    </row>
    <row r="66" spans="2:9" x14ac:dyDescent="0.25">
      <c r="B66" s="46" t="s">
        <v>82</v>
      </c>
      <c r="C66" s="20">
        <v>0</v>
      </c>
      <c r="D66" s="31">
        <v>500</v>
      </c>
      <c r="E66" s="20">
        <v>0</v>
      </c>
      <c r="F66" s="20">
        <v>0</v>
      </c>
      <c r="G66" s="20">
        <v>0</v>
      </c>
      <c r="H66" s="20">
        <v>0</v>
      </c>
      <c r="I66" s="20">
        <v>0</v>
      </c>
    </row>
    <row r="67" spans="2:9" x14ac:dyDescent="0.25">
      <c r="B67" s="46" t="s">
        <v>83</v>
      </c>
      <c r="C67" s="31">
        <v>0</v>
      </c>
      <c r="D67" s="31">
        <v>0</v>
      </c>
      <c r="E67" s="31">
        <v>0</v>
      </c>
      <c r="F67" s="31">
        <v>0</v>
      </c>
      <c r="G67" s="31">
        <v>0</v>
      </c>
      <c r="H67" s="31">
        <v>489</v>
      </c>
      <c r="I67" s="31">
        <v>502.25</v>
      </c>
    </row>
    <row r="68" spans="2:9" x14ac:dyDescent="0.25">
      <c r="B68" s="51" t="s">
        <v>79</v>
      </c>
      <c r="C68" s="31">
        <v>522</v>
      </c>
      <c r="D68" s="31">
        <v>0</v>
      </c>
      <c r="E68" s="31">
        <v>630.35</v>
      </c>
      <c r="F68" s="31">
        <v>8645.4500000000007</v>
      </c>
      <c r="G68" s="31">
        <v>4802.25</v>
      </c>
      <c r="H68" s="31">
        <v>5784.0999999999995</v>
      </c>
      <c r="I68" s="31">
        <v>8354.4000000000015</v>
      </c>
    </row>
  </sheetData>
  <autoFilter ref="A1:I57"/>
  <mergeCells count="3">
    <mergeCell ref="A2:A15"/>
    <mergeCell ref="A54:A56"/>
    <mergeCell ref="A17:A4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Melendez</dc:creator>
  <cp:lastModifiedBy>María Melendez</cp:lastModifiedBy>
  <dcterms:created xsi:type="dcterms:W3CDTF">2026-08-03T18:35:11Z</dcterms:created>
  <dcterms:modified xsi:type="dcterms:W3CDTF">2026-08-03T21:19:49Z</dcterms:modified>
</cp:coreProperties>
</file>